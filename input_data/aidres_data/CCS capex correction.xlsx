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toresearch-my.sharepoint.com/personal/hans_vandeput_vito_be/Documents/Mopo/mopo_repo/input_data/aidres_data/"/>
    </mc:Choice>
  </mc:AlternateContent>
  <xr:revisionPtr revIDLastSave="747" documentId="8_{845EB5EB-9F8E-4536-9BBE-FDBEE451E613}" xr6:coauthVersionLast="47" xr6:coauthVersionMax="47" xr10:uidLastSave="{49A2E496-BB95-4FC3-922F-9468C0466038}"/>
  <bookViews>
    <workbookView xWindow="-108" yWindow="-108" windowWidth="23256" windowHeight="12456" xr2:uid="{A1828A4B-B9DE-4034-B4A5-E537ECC13A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M2" i="1"/>
  <c r="H3" i="1"/>
  <c r="I2" i="1"/>
  <c r="H2" i="1" l="1"/>
  <c r="L11" i="1"/>
  <c r="M11" i="1" s="1"/>
  <c r="L12" i="1"/>
  <c r="M12" i="1" s="1"/>
  <c r="L21" i="1"/>
  <c r="M21" i="1" s="1"/>
  <c r="K5" i="1"/>
  <c r="L5" i="1" s="1"/>
  <c r="M5" i="1" s="1"/>
  <c r="K6" i="1"/>
  <c r="L6" i="1" s="1"/>
  <c r="M6" i="1" s="1"/>
  <c r="K9" i="1"/>
  <c r="L9" i="1" s="1"/>
  <c r="M9" i="1" s="1"/>
  <c r="K10" i="1"/>
  <c r="L10" i="1" s="1"/>
  <c r="M10" i="1" s="1"/>
  <c r="K11" i="1"/>
  <c r="K12" i="1"/>
  <c r="K13" i="1"/>
  <c r="L13" i="1" s="1"/>
  <c r="M13" i="1" s="1"/>
  <c r="K14" i="1"/>
  <c r="L14" i="1" s="1"/>
  <c r="M14" i="1" s="1"/>
  <c r="K15" i="1"/>
  <c r="L15" i="1" s="1"/>
  <c r="M15" i="1" s="1"/>
  <c r="K21" i="1"/>
  <c r="K23" i="1"/>
  <c r="L23" i="1" s="1"/>
  <c r="M23" i="1" s="1"/>
  <c r="I3" i="1"/>
  <c r="K3" i="1" s="1"/>
  <c r="L3" i="1" s="1"/>
  <c r="M3" i="1" s="1"/>
  <c r="I4" i="1"/>
  <c r="I5" i="1"/>
  <c r="I6" i="1"/>
  <c r="I7" i="1"/>
  <c r="K7" i="1" s="1"/>
  <c r="L7" i="1" s="1"/>
  <c r="M7" i="1" s="1"/>
  <c r="I8" i="1"/>
  <c r="K8" i="1" s="1"/>
  <c r="L8" i="1" s="1"/>
  <c r="M8" i="1" s="1"/>
  <c r="I9" i="1"/>
  <c r="I10" i="1"/>
  <c r="I11" i="1"/>
  <c r="I12" i="1"/>
  <c r="I13" i="1"/>
  <c r="I14" i="1"/>
  <c r="I15" i="1"/>
  <c r="I16" i="1"/>
  <c r="I17" i="1"/>
  <c r="I18" i="1"/>
  <c r="I19" i="1"/>
  <c r="K19" i="1" s="1"/>
  <c r="L19" i="1" s="1"/>
  <c r="M19" i="1" s="1"/>
  <c r="I20" i="1"/>
  <c r="K20" i="1" s="1"/>
  <c r="L20" i="1" s="1"/>
  <c r="M20" i="1" s="1"/>
  <c r="I21" i="1"/>
  <c r="I22" i="1"/>
  <c r="I23" i="1"/>
  <c r="I24" i="1"/>
  <c r="K24" i="1" s="1"/>
  <c r="L24" i="1" s="1"/>
  <c r="M24" i="1" s="1"/>
  <c r="I25" i="1"/>
  <c r="K25" i="1" s="1"/>
  <c r="L25" i="1" s="1"/>
  <c r="M25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8" i="1"/>
  <c r="H29" i="1"/>
  <c r="H30" i="1"/>
  <c r="H31" i="1"/>
  <c r="H32" i="1"/>
  <c r="H33" i="1"/>
  <c r="H34" i="1"/>
  <c r="H37" i="1"/>
  <c r="H38" i="1"/>
  <c r="H39" i="1"/>
  <c r="H40" i="1"/>
  <c r="H41" i="1"/>
  <c r="H42" i="1"/>
  <c r="H43" i="1"/>
  <c r="H46" i="1"/>
  <c r="H47" i="1"/>
  <c r="H48" i="1"/>
  <c r="H49" i="1"/>
  <c r="H50" i="1"/>
  <c r="H51" i="1"/>
  <c r="H54" i="1"/>
  <c r="H55" i="1"/>
  <c r="H56" i="1"/>
  <c r="H57" i="1"/>
  <c r="H60" i="1"/>
  <c r="H61" i="1"/>
  <c r="H62" i="1"/>
  <c r="H63" i="1"/>
  <c r="H66" i="1"/>
  <c r="H67" i="1"/>
  <c r="H68" i="1"/>
  <c r="H69" i="1"/>
  <c r="H72" i="1"/>
  <c r="H73" i="1"/>
  <c r="H74" i="1"/>
  <c r="H75" i="1"/>
  <c r="H76" i="1"/>
  <c r="H77" i="1"/>
  <c r="H78" i="1"/>
  <c r="H79" i="1"/>
  <c r="H80" i="1"/>
  <c r="H81" i="1"/>
  <c r="H84" i="1"/>
  <c r="H85" i="1"/>
  <c r="H86" i="1"/>
  <c r="M39" i="1"/>
  <c r="I37" i="1"/>
  <c r="K37" i="1" s="1"/>
  <c r="L37" i="1" s="1"/>
  <c r="M37" i="1" s="1"/>
  <c r="I28" i="1"/>
  <c r="K28" i="1" s="1"/>
  <c r="L28" i="1" s="1"/>
  <c r="M28" i="1" s="1"/>
  <c r="I29" i="1"/>
  <c r="K29" i="1" s="1"/>
  <c r="L29" i="1" s="1"/>
  <c r="M29" i="1" s="1"/>
  <c r="I30" i="1"/>
  <c r="K30" i="1" s="1"/>
  <c r="L30" i="1" s="1"/>
  <c r="M30" i="1" s="1"/>
  <c r="I31" i="1"/>
  <c r="K31" i="1" s="1"/>
  <c r="L31" i="1" s="1"/>
  <c r="M31" i="1" s="1"/>
  <c r="I32" i="1"/>
  <c r="K32" i="1" s="1"/>
  <c r="L32" i="1" s="1"/>
  <c r="M32" i="1" s="1"/>
  <c r="I33" i="1"/>
  <c r="K33" i="1" s="1"/>
  <c r="L33" i="1" s="1"/>
  <c r="M33" i="1" s="1"/>
  <c r="I34" i="1"/>
  <c r="K34" i="1" s="1"/>
  <c r="L34" i="1" s="1"/>
  <c r="M34" i="1" s="1"/>
  <c r="I38" i="1"/>
  <c r="K38" i="1" s="1"/>
  <c r="L38" i="1" s="1"/>
  <c r="M38" i="1" s="1"/>
  <c r="I39" i="1"/>
  <c r="K39" i="1" s="1"/>
  <c r="I40" i="1"/>
  <c r="K40" i="1" s="1"/>
  <c r="L40" i="1" s="1"/>
  <c r="M40" i="1" s="1"/>
  <c r="I41" i="1"/>
  <c r="K41" i="1" s="1"/>
  <c r="L41" i="1" s="1"/>
  <c r="M41" i="1" s="1"/>
  <c r="I42" i="1"/>
  <c r="K42" i="1" s="1"/>
  <c r="M42" i="1" s="1"/>
  <c r="I43" i="1"/>
  <c r="K43" i="1" s="1"/>
  <c r="L43" i="1" s="1"/>
  <c r="M43" i="1" s="1"/>
  <c r="I46" i="1"/>
  <c r="K46" i="1" s="1"/>
  <c r="L46" i="1" s="1"/>
  <c r="M46" i="1" s="1"/>
  <c r="I47" i="1"/>
  <c r="K47" i="1" s="1"/>
  <c r="L47" i="1" s="1"/>
  <c r="M47" i="1" s="1"/>
  <c r="I48" i="1"/>
  <c r="K48" i="1" s="1"/>
  <c r="L48" i="1" s="1"/>
  <c r="M48" i="1" s="1"/>
  <c r="I49" i="1"/>
  <c r="K49" i="1" s="1"/>
  <c r="L49" i="1" s="1"/>
  <c r="M49" i="1" s="1"/>
  <c r="I50" i="1"/>
  <c r="K50" i="1" s="1"/>
  <c r="M50" i="1" s="1"/>
  <c r="I51" i="1"/>
  <c r="K51" i="1" s="1"/>
  <c r="L51" i="1" s="1"/>
  <c r="M51" i="1" s="1"/>
  <c r="I54" i="1"/>
  <c r="K54" i="1" s="1"/>
  <c r="L54" i="1" s="1"/>
  <c r="M54" i="1" s="1"/>
  <c r="I55" i="1"/>
  <c r="K55" i="1" s="1"/>
  <c r="L55" i="1" s="1"/>
  <c r="M55" i="1" s="1"/>
  <c r="I56" i="1"/>
  <c r="K56" i="1" s="1"/>
  <c r="L56" i="1" s="1"/>
  <c r="M56" i="1" s="1"/>
  <c r="I57" i="1"/>
  <c r="I60" i="1"/>
  <c r="K60" i="1" s="1"/>
  <c r="L60" i="1" s="1"/>
  <c r="M60" i="1" s="1"/>
  <c r="I61" i="1"/>
  <c r="K61" i="1" s="1"/>
  <c r="L61" i="1" s="1"/>
  <c r="M61" i="1" s="1"/>
  <c r="I62" i="1"/>
  <c r="K62" i="1" s="1"/>
  <c r="L62" i="1" s="1"/>
  <c r="M62" i="1" s="1"/>
  <c r="I63" i="1"/>
  <c r="K63" i="1" s="1"/>
  <c r="L63" i="1" s="1"/>
  <c r="M63" i="1" s="1"/>
  <c r="I66" i="1"/>
  <c r="K66" i="1" s="1"/>
  <c r="L66" i="1" s="1"/>
  <c r="M66" i="1" s="1"/>
  <c r="I67" i="1"/>
  <c r="K67" i="1" s="1"/>
  <c r="L67" i="1" s="1"/>
  <c r="M67" i="1" s="1"/>
  <c r="I68" i="1"/>
  <c r="K68" i="1" s="1"/>
  <c r="L68" i="1" s="1"/>
  <c r="M68" i="1" s="1"/>
  <c r="I69" i="1"/>
  <c r="K69" i="1" s="1"/>
  <c r="L69" i="1" s="1"/>
  <c r="M69" i="1" s="1"/>
  <c r="I72" i="1"/>
  <c r="K72" i="1" s="1"/>
  <c r="L72" i="1" s="1"/>
  <c r="M72" i="1" s="1"/>
  <c r="I73" i="1"/>
  <c r="K73" i="1" s="1"/>
  <c r="L73" i="1" s="1"/>
  <c r="M73" i="1" s="1"/>
  <c r="I74" i="1"/>
  <c r="K74" i="1" s="1"/>
  <c r="L74" i="1" s="1"/>
  <c r="M74" i="1" s="1"/>
  <c r="I75" i="1"/>
  <c r="K75" i="1" s="1"/>
  <c r="L75" i="1" s="1"/>
  <c r="M75" i="1" s="1"/>
  <c r="I76" i="1"/>
  <c r="K76" i="1" s="1"/>
  <c r="L76" i="1" s="1"/>
  <c r="M76" i="1" s="1"/>
  <c r="I77" i="1"/>
  <c r="K77" i="1" s="1"/>
  <c r="L77" i="1" s="1"/>
  <c r="M77" i="1" s="1"/>
  <c r="I78" i="1"/>
  <c r="K78" i="1" s="1"/>
  <c r="L78" i="1" s="1"/>
  <c r="M78" i="1" s="1"/>
  <c r="I79" i="1"/>
  <c r="K79" i="1" s="1"/>
  <c r="L79" i="1" s="1"/>
  <c r="M79" i="1" s="1"/>
  <c r="I80" i="1"/>
  <c r="K80" i="1" s="1"/>
  <c r="L80" i="1" s="1"/>
  <c r="M80" i="1" s="1"/>
  <c r="I81" i="1"/>
  <c r="K81" i="1" s="1"/>
  <c r="L81" i="1" s="1"/>
  <c r="M81" i="1" s="1"/>
  <c r="I84" i="1"/>
  <c r="K84" i="1" s="1"/>
  <c r="L84" i="1" s="1"/>
  <c r="M84" i="1" s="1"/>
  <c r="I85" i="1"/>
  <c r="K85" i="1" s="1"/>
  <c r="L85" i="1" s="1"/>
  <c r="M85" i="1" s="1"/>
  <c r="I86" i="1"/>
  <c r="K86" i="1" s="1"/>
  <c r="L86" i="1" s="1"/>
  <c r="M86" i="1" s="1"/>
  <c r="K22" i="1" l="1"/>
  <c r="L22" i="1" s="1"/>
  <c r="M22" i="1" s="1"/>
  <c r="K18" i="1"/>
  <c r="L18" i="1" s="1"/>
  <c r="M18" i="1" s="1"/>
  <c r="K16" i="1"/>
  <c r="L16" i="1" s="1"/>
  <c r="M16" i="1" s="1"/>
  <c r="K4" i="1"/>
  <c r="M4" i="1" s="1"/>
  <c r="K17" i="1"/>
  <c r="L17" i="1" s="1"/>
  <c r="M17" i="1" s="1"/>
  <c r="K2" i="1"/>
  <c r="L2" i="1" s="1"/>
  <c r="K57" i="1"/>
  <c r="L57" i="1" s="1"/>
  <c r="M57" i="1" s="1"/>
</calcChain>
</file>

<file path=xl/sharedStrings.xml><?xml version="1.0" encoding="utf-8"?>
<sst xmlns="http://schemas.openxmlformats.org/spreadsheetml/2006/main" count="309" uniqueCount="125">
  <si>
    <t>configuration with CC</t>
  </si>
  <si>
    <t>configuration without CC</t>
  </si>
  <si>
    <t>configuration_id</t>
  </si>
  <si>
    <t>product_id</t>
  </si>
  <si>
    <t>CEM1-(Coal)</t>
  </si>
  <si>
    <t>CEM1-(Coal)MEA</t>
  </si>
  <si>
    <t>PyPsa - National Petroleum Council  Meeting the Dual Challenge - A Roadmap to At-Scale Deployment of Carbon Capture</t>
  </si>
  <si>
    <t>CEM1-(NG)</t>
  </si>
  <si>
    <t>CEM1-(NG)MEA</t>
  </si>
  <si>
    <t>CEM1-(Afm)</t>
  </si>
  <si>
    <t>CEM1-(Afm)MEA</t>
  </si>
  <si>
    <t>CEM1-(BMW)</t>
  </si>
  <si>
    <t>CEM1-(BMW)MEA</t>
  </si>
  <si>
    <t>CEM2-(Coal)</t>
  </si>
  <si>
    <t>CEM2-(Coal)MEA</t>
  </si>
  <si>
    <t>CEM2-(NG)</t>
  </si>
  <si>
    <t>CEM2-(NG)MEA</t>
  </si>
  <si>
    <t>CEM2-(Afm)</t>
  </si>
  <si>
    <t>CEM2-(Afm)MEA</t>
  </si>
  <si>
    <t>CEM2-(BMW)</t>
  </si>
  <si>
    <t>CEM2-(BMW)MEA</t>
  </si>
  <si>
    <t>LC3-(Coal)</t>
  </si>
  <si>
    <t>LC3-(Coal)MEA</t>
  </si>
  <si>
    <t>LC3-(NG)</t>
  </si>
  <si>
    <t>LC3-(NG)MEA</t>
  </si>
  <si>
    <t>LC3-(Afm)</t>
  </si>
  <si>
    <t>LC3-(Afm)MEA</t>
  </si>
  <si>
    <t>LC3-(BMW)</t>
  </si>
  <si>
    <t>LC3-(BMW)MEA</t>
  </si>
  <si>
    <t>configuration</t>
  </si>
  <si>
    <t>(NG)PE</t>
  </si>
  <si>
    <t>(NG)PE-MEA</t>
  </si>
  <si>
    <t>https://www.sciencedirect.com/science/article/pii/S0360128511000293?via%3Dihub#sec2</t>
  </si>
  <si>
    <t>(NG)PEA</t>
  </si>
  <si>
    <t>(NG)PEA-MEA</t>
  </si>
  <si>
    <t>(LN)O</t>
  </si>
  <si>
    <t>(LN)O-MEA</t>
  </si>
  <si>
    <t>(MeOH)O</t>
  </si>
  <si>
    <t>(MeOH)O-MEA</t>
  </si>
  <si>
    <t>((BM)MeOH)O</t>
  </si>
  <si>
    <t>((BM)MeOH)O-MEA</t>
  </si>
  <si>
    <t>((BM+H2)MeOH)O</t>
  </si>
  <si>
    <t>((BM+H2)MeOH)O-MEA</t>
  </si>
  <si>
    <t>((COEL)MeOH)O</t>
  </si>
  <si>
    <t>((COEL)MeOH)O-MEA</t>
  </si>
  <si>
    <t>(NG)NH3</t>
  </si>
  <si>
    <t>(NG)NH3-MEA</t>
  </si>
  <si>
    <t>(NG)NH3-DEA</t>
  </si>
  <si>
    <t>(NG)NH3-MEA-DEA</t>
  </si>
  <si>
    <t>(NG)NH3-MVR</t>
  </si>
  <si>
    <t>(NG)NH3-MVR-MEA</t>
  </si>
  <si>
    <t>(NG)NH3-MVR-DEA</t>
  </si>
  <si>
    <t>(NG)NH3-MVR-MEA-DEA</t>
  </si>
  <si>
    <t>(BM)NH3</t>
  </si>
  <si>
    <t>(BM)NH3-DEA</t>
  </si>
  <si>
    <t>(NG)HNO3</t>
  </si>
  <si>
    <t>(NG)HNO3-DEA</t>
  </si>
  <si>
    <t>(BM)HNO3</t>
  </si>
  <si>
    <t>(BM)HNO3-DEA</t>
  </si>
  <si>
    <t>(NG)Urea</t>
  </si>
  <si>
    <t>(NG)Urea-MEA</t>
  </si>
  <si>
    <t>(NG)Urea-DEA</t>
  </si>
  <si>
    <t>(NG)Urea-MEA-DEA</t>
  </si>
  <si>
    <t>(BM)Urea</t>
  </si>
  <si>
    <t>(BM)Urea-DEA</t>
  </si>
  <si>
    <t>(NG)</t>
  </si>
  <si>
    <t>(NG)-CC</t>
  </si>
  <si>
    <t>https://www.mdpi.com/1996-1073/16/5/2140</t>
  </si>
  <si>
    <t>(H2)</t>
  </si>
  <si>
    <t>(H2)-CC</t>
  </si>
  <si>
    <t>(H2)-AEL</t>
  </si>
  <si>
    <t>(H2)-AEL-CC</t>
  </si>
  <si>
    <t>(EL)</t>
  </si>
  <si>
    <t>(EL)-CC</t>
  </si>
  <si>
    <t>REF(H2)</t>
  </si>
  <si>
    <t>REF(H2)-MEA</t>
  </si>
  <si>
    <t>REF-SMR</t>
  </si>
  <si>
    <t>REF-SMR-MEA</t>
  </si>
  <si>
    <t>(BM)FT</t>
  </si>
  <si>
    <t>(BM)FT-MEA</t>
  </si>
  <si>
    <t>(BM+H2)FT</t>
  </si>
  <si>
    <t>(BM+H2)FT-MEA</t>
  </si>
  <si>
    <t>(BM+H2)FT-AEL</t>
  </si>
  <si>
    <t>(BM+H2)FT-AEL-MEA</t>
  </si>
  <si>
    <t>(BM)MeOH</t>
  </si>
  <si>
    <t>(BM)MeOH-MEA</t>
  </si>
  <si>
    <t>(BM+H2)MeOH</t>
  </si>
  <si>
    <t>(BM+H2)MeOH-MEA</t>
  </si>
  <si>
    <t>(BM+H2)MeOH-AEL</t>
  </si>
  <si>
    <t>(BM+H2)MeOH-AEL-MEA</t>
  </si>
  <si>
    <t>(COEL)FT</t>
  </si>
  <si>
    <t>(COEL)FT-MEA</t>
  </si>
  <si>
    <t>(COEL)MeOH</t>
  </si>
  <si>
    <t>(COEL)MeOH-MEA</t>
  </si>
  <si>
    <t>BF-BOF</t>
  </si>
  <si>
    <t>BF-BOF-MEA</t>
  </si>
  <si>
    <t>https://sandbag.be/2024/07/15/steel_and_ccsu/ 2024: study</t>
  </si>
  <si>
    <t>WPI-BOF</t>
  </si>
  <si>
    <t>WPI-BOF-MEA</t>
  </si>
  <si>
    <t>(NG)DRI-EAF</t>
  </si>
  <si>
    <t>(NG)DRI-EAF-MEA</t>
  </si>
  <si>
    <t>CAPEX CCS conf</t>
  </si>
  <si>
    <t>CAPEX base conf</t>
  </si>
  <si>
    <t>captured CO2 ton CO2/ton</t>
  </si>
  <si>
    <t>CAPEX with CCS (eur/ton product)</t>
  </si>
  <si>
    <t>CAPEX without CCS (eur/ton product)</t>
  </si>
  <si>
    <t>CAPEX cost CCS in AIDRES (eur/ton CO2)</t>
  </si>
  <si>
    <t>CAPEX NEW (eur_ton CO2)</t>
  </si>
  <si>
    <t>CAPEX difference (eur_ton CO2)</t>
  </si>
  <si>
    <t>CAPEX to add (eur_ton CO2)</t>
  </si>
  <si>
    <t>CAPEX to add (eur_ton product)</t>
  </si>
  <si>
    <t>CAPEX cost CCS in AIDRES (eur/ton product)</t>
  </si>
  <si>
    <t>CEM1-(Coal)Oxy-MEA</t>
  </si>
  <si>
    <t>CEM1-(NG)Oxy-MEA</t>
  </si>
  <si>
    <t>CEM1-(Afm)Oxy-MEA</t>
  </si>
  <si>
    <t>CEM1-(BMW)Oxy-MEA</t>
  </si>
  <si>
    <t>CEM2-(Coal)Oxy-MEA</t>
  </si>
  <si>
    <t>CEM2-(NG)Oxy-MEA</t>
  </si>
  <si>
    <t>CEM2-(Afm)Oxy-MEA</t>
  </si>
  <si>
    <t>CEM2-(BMW)Oxy-MEA</t>
  </si>
  <si>
    <t>LC3-(Coal)Oxy-MEA</t>
  </si>
  <si>
    <t>LC3-(NG)Oxy-MEA</t>
  </si>
  <si>
    <t>LC3-(Afm)Oxy-MEA</t>
  </si>
  <si>
    <t>LC3-(BMW)Oxy-MEA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</si>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</sst>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andbag.be/2024/07/15/steel_and_ccsu/" TargetMode="External"/><Relationship Id="rId2" Type="http://schemas.openxmlformats.org/officeDocument/2006/relationships/hyperlink" Target="https://www.sciencedirect.com/science/article/pii/S0360128511000293?via%3Dihub" TargetMode="External"/><Relationship Id="rId1" Type="http://schemas.openxmlformats.org/officeDocument/2006/relationships/hyperlink" Target="https://www.sciencedirect.com/science/article/pii/S0360128511000293?via%3Dihub" TargetMode="External"/><Relationship Id="rId4" Type="http://schemas.openxmlformats.org/officeDocument/2006/relationships/hyperlink" Target="https://www.sciencedirect.com/science/article/pii/S0360128511000293?via%3Dih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E00A5-8475-417F-99EE-6DE7BC4FBBE2}">
  <dimension ref="A1:T86"/>
  <sheetViews>
    <sheetView tabSelected="1" topLeftCell="J1" zoomScale="115" zoomScaleNormal="115" workbookViewId="0">
      <selection activeCell="M10" sqref="M10"/>
    </sheetView>
  </sheetViews>
  <sheetFormatPr defaultRowHeight="14.4" x14ac:dyDescent="0.3"/>
  <cols>
    <col min="1" max="1" width="21.33203125" bestFit="1" customWidth="1"/>
    <col min="2" max="2" width="22.33203125" bestFit="1" customWidth="1"/>
    <col min="3" max="3" width="17.5546875" customWidth="1"/>
    <col min="4" max="4" width="11.6640625" customWidth="1"/>
    <col min="5" max="5" width="32.6640625" bestFit="1" customWidth="1"/>
    <col min="6" max="6" width="29.6640625" bestFit="1" customWidth="1"/>
    <col min="7" max="7" width="27.33203125" customWidth="1"/>
    <col min="8" max="8" width="38.5546875" bestFit="1" customWidth="1"/>
    <col min="9" max="9" width="41.6640625" customWidth="1"/>
    <col min="10" max="10" width="23.5546875" bestFit="1" customWidth="1"/>
    <col min="11" max="11" width="39.109375" customWidth="1"/>
    <col min="12" max="12" width="27.88671875" bestFit="1" customWidth="1"/>
    <col min="13" max="13" width="27.44140625" style="1" bestFit="1" customWidth="1"/>
    <col min="16" max="16" width="105.6640625" bestFit="1" customWidth="1"/>
    <col min="17" max="17" width="17.88671875" bestFit="1" customWidth="1"/>
    <col min="18" max="18" width="15.109375" style="5" bestFit="1" customWidth="1"/>
    <col min="19" max="19" width="23.44140625" style="5" customWidth="1"/>
    <col min="20" max="20" width="8" style="5" customWidth="1"/>
  </cols>
  <sheetData>
    <row r="1" spans="1:16" x14ac:dyDescent="0.3">
      <c r="A1" t="s">
        <v>1</v>
      </c>
      <c r="B1" t="s">
        <v>0</v>
      </c>
      <c r="C1" t="s">
        <v>2</v>
      </c>
      <c r="D1" t="s">
        <v>3</v>
      </c>
      <c r="E1" t="s">
        <v>105</v>
      </c>
      <c r="F1" t="s">
        <v>104</v>
      </c>
      <c r="G1" t="s">
        <v>103</v>
      </c>
      <c r="H1" t="s">
        <v>111</v>
      </c>
      <c r="I1" t="s">
        <v>106</v>
      </c>
      <c r="J1" t="s">
        <v>107</v>
      </c>
      <c r="K1" t="s">
        <v>108</v>
      </c>
      <c r="L1" t="s">
        <v>109</v>
      </c>
      <c r="M1" s="1" t="s">
        <v>110</v>
      </c>
      <c r="P1" t="s">
        <v>124</v>
      </c>
    </row>
    <row r="2" spans="1:16" x14ac:dyDescent="0.3">
      <c r="A2" t="s">
        <v>4</v>
      </c>
      <c r="B2" t="s">
        <v>5</v>
      </c>
      <c r="C2">
        <v>2</v>
      </c>
      <c r="D2">
        <v>0</v>
      </c>
      <c r="E2">
        <v>3</v>
      </c>
      <c r="F2">
        <v>6</v>
      </c>
      <c r="G2">
        <v>0.74299999999999999</v>
      </c>
      <c r="H2">
        <f>F2-E24</f>
        <v>3</v>
      </c>
      <c r="I2">
        <f>(F2-E2)/G2</f>
        <v>4.0376850605652761</v>
      </c>
      <c r="J2">
        <v>32.048000000000002</v>
      </c>
      <c r="K2">
        <f>J2-I2</f>
        <v>28.010314939434725</v>
      </c>
      <c r="L2">
        <f>IF(K2&gt;0,K2,0)</f>
        <v>28.010314939434725</v>
      </c>
      <c r="M2" s="1">
        <f>L2*G2</f>
        <v>20.811664</v>
      </c>
      <c r="P2" t="s">
        <v>6</v>
      </c>
    </row>
    <row r="3" spans="1:16" x14ac:dyDescent="0.3">
      <c r="A3" t="s">
        <v>4</v>
      </c>
      <c r="B3" t="s">
        <v>112</v>
      </c>
      <c r="C3">
        <v>4</v>
      </c>
      <c r="D3">
        <v>0</v>
      </c>
      <c r="E3">
        <v>3</v>
      </c>
      <c r="F3">
        <v>6</v>
      </c>
      <c r="G3">
        <v>0.85399999999999998</v>
      </c>
      <c r="H3">
        <f>F3-E3</f>
        <v>3</v>
      </c>
      <c r="I3">
        <f t="shared" ref="I3:I25" si="0">(F3-E3)/G3</f>
        <v>3.5128805620608898</v>
      </c>
      <c r="J3">
        <v>32.048000000000002</v>
      </c>
      <c r="K3">
        <f t="shared" ref="K3:K25" si="1">J3-I3</f>
        <v>28.535119437939112</v>
      </c>
      <c r="L3">
        <f t="shared" ref="L3:L25" si="2">IF(K3&gt;0,K3,0)</f>
        <v>28.535119437939112</v>
      </c>
      <c r="M3" s="1">
        <f t="shared" ref="M3:M25" si="3">L3*G3</f>
        <v>24.368992000000002</v>
      </c>
      <c r="P3" t="s">
        <v>6</v>
      </c>
    </row>
    <row r="4" spans="1:16" x14ac:dyDescent="0.3">
      <c r="A4" t="s">
        <v>7</v>
      </c>
      <c r="B4" t="s">
        <v>8</v>
      </c>
      <c r="C4">
        <v>7</v>
      </c>
      <c r="D4">
        <v>0</v>
      </c>
      <c r="E4">
        <v>3</v>
      </c>
      <c r="F4">
        <v>5</v>
      </c>
      <c r="G4">
        <v>0.59599999999999997</v>
      </c>
      <c r="H4">
        <f t="shared" ref="H3:H25" si="4">F4-E4</f>
        <v>2</v>
      </c>
      <c r="I4">
        <f t="shared" si="0"/>
        <v>3.3557046979865772</v>
      </c>
      <c r="J4">
        <v>32.048000000000002</v>
      </c>
      <c r="K4">
        <f t="shared" si="1"/>
        <v>28.692295302013424</v>
      </c>
      <c r="L4">
        <f>IF(K4&gt;0,K4,0)</f>
        <v>28.692295302013424</v>
      </c>
      <c r="M4" s="1">
        <f t="shared" si="3"/>
        <v>17.100608000000001</v>
      </c>
      <c r="P4" t="s">
        <v>6</v>
      </c>
    </row>
    <row r="5" spans="1:16" x14ac:dyDescent="0.3">
      <c r="A5" t="s">
        <v>7</v>
      </c>
      <c r="B5" t="s">
        <v>113</v>
      </c>
      <c r="C5">
        <v>9</v>
      </c>
      <c r="D5">
        <v>0</v>
      </c>
      <c r="E5">
        <v>3</v>
      </c>
      <c r="F5">
        <v>6</v>
      </c>
      <c r="G5">
        <v>0.91700000000000004</v>
      </c>
      <c r="H5">
        <f t="shared" si="4"/>
        <v>3</v>
      </c>
      <c r="I5">
        <f t="shared" si="0"/>
        <v>3.2715376226826609</v>
      </c>
      <c r="J5">
        <v>32.048000000000002</v>
      </c>
      <c r="K5">
        <f t="shared" si="1"/>
        <v>28.77646237731734</v>
      </c>
      <c r="L5">
        <f t="shared" si="2"/>
        <v>28.77646237731734</v>
      </c>
      <c r="M5" s="1">
        <f t="shared" si="3"/>
        <v>26.388016000000004</v>
      </c>
      <c r="P5" t="s">
        <v>6</v>
      </c>
    </row>
    <row r="6" spans="1:16" x14ac:dyDescent="0.3">
      <c r="A6" t="s">
        <v>9</v>
      </c>
      <c r="B6" t="s">
        <v>10</v>
      </c>
      <c r="C6">
        <v>12</v>
      </c>
      <c r="D6">
        <v>0</v>
      </c>
      <c r="E6">
        <v>3</v>
      </c>
      <c r="F6">
        <v>6</v>
      </c>
      <c r="G6">
        <v>0.7</v>
      </c>
      <c r="H6">
        <f t="shared" si="4"/>
        <v>3</v>
      </c>
      <c r="I6">
        <f t="shared" si="0"/>
        <v>4.2857142857142856</v>
      </c>
      <c r="J6">
        <v>32.048000000000002</v>
      </c>
      <c r="K6">
        <f t="shared" si="1"/>
        <v>27.762285714285717</v>
      </c>
      <c r="L6">
        <f t="shared" si="2"/>
        <v>27.762285714285717</v>
      </c>
      <c r="M6" s="1">
        <f t="shared" si="3"/>
        <v>19.433600000000002</v>
      </c>
      <c r="P6" t="s">
        <v>6</v>
      </c>
    </row>
    <row r="7" spans="1:16" x14ac:dyDescent="0.3">
      <c r="A7" t="s">
        <v>9</v>
      </c>
      <c r="B7" t="s">
        <v>114</v>
      </c>
      <c r="C7">
        <v>14</v>
      </c>
      <c r="D7">
        <v>0</v>
      </c>
      <c r="E7">
        <v>3</v>
      </c>
      <c r="F7">
        <v>5</v>
      </c>
      <c r="G7">
        <v>0.65900000000000003</v>
      </c>
      <c r="H7">
        <f t="shared" si="4"/>
        <v>2</v>
      </c>
      <c r="I7">
        <f t="shared" si="0"/>
        <v>3.0349013657056143</v>
      </c>
      <c r="J7">
        <v>32.048000000000002</v>
      </c>
      <c r="K7">
        <f t="shared" si="1"/>
        <v>29.013098634294387</v>
      </c>
      <c r="L7">
        <f t="shared" si="2"/>
        <v>29.013098634294387</v>
      </c>
      <c r="M7" s="1">
        <f t="shared" si="3"/>
        <v>19.119632000000003</v>
      </c>
      <c r="P7" t="s">
        <v>6</v>
      </c>
    </row>
    <row r="8" spans="1:16" x14ac:dyDescent="0.3">
      <c r="A8" t="s">
        <v>11</v>
      </c>
      <c r="B8" t="s">
        <v>12</v>
      </c>
      <c r="C8">
        <v>17</v>
      </c>
      <c r="D8">
        <v>0</v>
      </c>
      <c r="E8">
        <v>3</v>
      </c>
      <c r="F8">
        <v>6</v>
      </c>
      <c r="G8">
        <v>0.88200000000000001</v>
      </c>
      <c r="H8">
        <f t="shared" si="4"/>
        <v>3</v>
      </c>
      <c r="I8">
        <f t="shared" si="0"/>
        <v>3.4013605442176869</v>
      </c>
      <c r="J8">
        <v>32.048000000000002</v>
      </c>
      <c r="K8">
        <f t="shared" si="1"/>
        <v>28.646639455782314</v>
      </c>
      <c r="L8">
        <f t="shared" si="2"/>
        <v>28.646639455782314</v>
      </c>
      <c r="M8" s="1">
        <f t="shared" si="3"/>
        <v>25.266336000000003</v>
      </c>
      <c r="P8" t="s">
        <v>6</v>
      </c>
    </row>
    <row r="9" spans="1:16" x14ac:dyDescent="0.3">
      <c r="A9" t="s">
        <v>11</v>
      </c>
      <c r="B9" t="s">
        <v>115</v>
      </c>
      <c r="C9">
        <v>19</v>
      </c>
      <c r="D9">
        <v>0</v>
      </c>
      <c r="E9">
        <v>3</v>
      </c>
      <c r="F9">
        <v>5</v>
      </c>
      <c r="G9">
        <v>0.95799999999999996</v>
      </c>
      <c r="H9">
        <f t="shared" si="4"/>
        <v>2</v>
      </c>
      <c r="I9">
        <f t="shared" si="0"/>
        <v>2.0876826722338206</v>
      </c>
      <c r="J9">
        <v>32.048000000000002</v>
      </c>
      <c r="K9">
        <f t="shared" si="1"/>
        <v>29.96031732776618</v>
      </c>
      <c r="L9">
        <f t="shared" si="2"/>
        <v>29.96031732776618</v>
      </c>
      <c r="M9" s="1">
        <f t="shared" si="3"/>
        <v>28.701983999999999</v>
      </c>
      <c r="P9" t="s">
        <v>6</v>
      </c>
    </row>
    <row r="10" spans="1:16" x14ac:dyDescent="0.3">
      <c r="A10" t="s">
        <v>13</v>
      </c>
      <c r="B10" t="s">
        <v>14</v>
      </c>
      <c r="C10">
        <v>22</v>
      </c>
      <c r="D10">
        <v>0</v>
      </c>
      <c r="E10">
        <v>3</v>
      </c>
      <c r="F10">
        <v>5</v>
      </c>
      <c r="G10">
        <v>0.54800000000000004</v>
      </c>
      <c r="H10">
        <f t="shared" si="4"/>
        <v>2</v>
      </c>
      <c r="I10">
        <f t="shared" si="0"/>
        <v>3.6496350364963499</v>
      </c>
      <c r="J10">
        <v>32.048000000000002</v>
      </c>
      <c r="K10">
        <f t="shared" si="1"/>
        <v>28.398364963503653</v>
      </c>
      <c r="L10">
        <f t="shared" si="2"/>
        <v>28.398364963503653</v>
      </c>
      <c r="M10" s="1">
        <f t="shared" si="3"/>
        <v>15.562304000000003</v>
      </c>
      <c r="P10" t="s">
        <v>6</v>
      </c>
    </row>
    <row r="11" spans="1:16" x14ac:dyDescent="0.3">
      <c r="A11" t="s">
        <v>13</v>
      </c>
      <c r="B11" t="s">
        <v>116</v>
      </c>
      <c r="C11">
        <v>24</v>
      </c>
      <c r="D11">
        <v>0</v>
      </c>
      <c r="E11">
        <v>3</v>
      </c>
      <c r="F11">
        <v>4</v>
      </c>
      <c r="G11">
        <v>0.629</v>
      </c>
      <c r="H11">
        <f t="shared" si="4"/>
        <v>1</v>
      </c>
      <c r="I11">
        <f t="shared" si="0"/>
        <v>1.589825119236884</v>
      </c>
      <c r="J11">
        <v>32.048000000000002</v>
      </c>
      <c r="K11">
        <f t="shared" si="1"/>
        <v>30.458174880763117</v>
      </c>
      <c r="L11">
        <f t="shared" si="2"/>
        <v>30.458174880763117</v>
      </c>
      <c r="M11" s="1">
        <f t="shared" si="3"/>
        <v>19.158192</v>
      </c>
      <c r="P11" t="s">
        <v>6</v>
      </c>
    </row>
    <row r="12" spans="1:16" x14ac:dyDescent="0.3">
      <c r="A12" t="s">
        <v>15</v>
      </c>
      <c r="B12" t="s">
        <v>16</v>
      </c>
      <c r="C12">
        <v>27</v>
      </c>
      <c r="D12">
        <v>0</v>
      </c>
      <c r="E12">
        <v>3</v>
      </c>
      <c r="F12">
        <v>4</v>
      </c>
      <c r="G12">
        <v>0.439</v>
      </c>
      <c r="H12">
        <f t="shared" si="4"/>
        <v>1</v>
      </c>
      <c r="I12">
        <f t="shared" si="0"/>
        <v>2.2779043280182232</v>
      </c>
      <c r="J12">
        <v>32.048000000000002</v>
      </c>
      <c r="K12">
        <f t="shared" si="1"/>
        <v>29.770095671981778</v>
      </c>
      <c r="L12">
        <f t="shared" si="2"/>
        <v>29.770095671981778</v>
      </c>
      <c r="M12" s="1">
        <f t="shared" si="3"/>
        <v>13.069072</v>
      </c>
      <c r="P12" t="s">
        <v>6</v>
      </c>
    </row>
    <row r="13" spans="1:16" x14ac:dyDescent="0.3">
      <c r="A13" t="s">
        <v>15</v>
      </c>
      <c r="B13" t="s">
        <v>117</v>
      </c>
      <c r="C13">
        <v>29</v>
      </c>
      <c r="D13">
        <v>0</v>
      </c>
      <c r="E13">
        <v>3</v>
      </c>
      <c r="F13">
        <v>5</v>
      </c>
      <c r="G13">
        <v>0.67600000000000005</v>
      </c>
      <c r="H13">
        <f t="shared" si="4"/>
        <v>2</v>
      </c>
      <c r="I13">
        <f t="shared" si="0"/>
        <v>2.9585798816568047</v>
      </c>
      <c r="J13">
        <v>32.048000000000002</v>
      </c>
      <c r="K13">
        <f t="shared" si="1"/>
        <v>29.089420118343199</v>
      </c>
      <c r="L13">
        <f t="shared" si="2"/>
        <v>29.089420118343199</v>
      </c>
      <c r="M13" s="1">
        <f t="shared" si="3"/>
        <v>19.664448000000004</v>
      </c>
      <c r="P13" t="s">
        <v>6</v>
      </c>
    </row>
    <row r="14" spans="1:16" x14ac:dyDescent="0.3">
      <c r="A14" t="s">
        <v>17</v>
      </c>
      <c r="B14" t="s">
        <v>18</v>
      </c>
      <c r="C14">
        <v>32</v>
      </c>
      <c r="D14">
        <v>0</v>
      </c>
      <c r="E14">
        <v>3</v>
      </c>
      <c r="F14">
        <v>5</v>
      </c>
      <c r="G14">
        <v>0.51600000000000001</v>
      </c>
      <c r="H14">
        <f t="shared" si="4"/>
        <v>2</v>
      </c>
      <c r="I14">
        <f t="shared" si="0"/>
        <v>3.8759689922480618</v>
      </c>
      <c r="J14">
        <v>32.048000000000002</v>
      </c>
      <c r="K14">
        <f t="shared" si="1"/>
        <v>28.17203100775194</v>
      </c>
      <c r="L14">
        <f t="shared" si="2"/>
        <v>28.17203100775194</v>
      </c>
      <c r="M14" s="1">
        <f t="shared" si="3"/>
        <v>14.536768000000002</v>
      </c>
      <c r="P14" t="s">
        <v>6</v>
      </c>
    </row>
    <row r="15" spans="1:16" x14ac:dyDescent="0.3">
      <c r="A15" t="s">
        <v>17</v>
      </c>
      <c r="B15" t="s">
        <v>118</v>
      </c>
      <c r="C15">
        <v>34</v>
      </c>
      <c r="D15">
        <v>0</v>
      </c>
      <c r="E15">
        <v>3</v>
      </c>
      <c r="F15">
        <v>4</v>
      </c>
      <c r="G15">
        <v>0.48499999999999999</v>
      </c>
      <c r="H15">
        <f t="shared" si="4"/>
        <v>1</v>
      </c>
      <c r="I15">
        <f t="shared" si="0"/>
        <v>2.061855670103093</v>
      </c>
      <c r="J15">
        <v>32.048000000000002</v>
      </c>
      <c r="K15">
        <f t="shared" si="1"/>
        <v>29.986144329896909</v>
      </c>
      <c r="L15">
        <f t="shared" si="2"/>
        <v>29.986144329896909</v>
      </c>
      <c r="M15" s="1">
        <f t="shared" si="3"/>
        <v>14.543280000000001</v>
      </c>
      <c r="P15" t="s">
        <v>6</v>
      </c>
    </row>
    <row r="16" spans="1:16" x14ac:dyDescent="0.3">
      <c r="A16" t="s">
        <v>19</v>
      </c>
      <c r="B16" t="s">
        <v>20</v>
      </c>
      <c r="C16">
        <v>37</v>
      </c>
      <c r="D16">
        <v>0</v>
      </c>
      <c r="E16">
        <v>3</v>
      </c>
      <c r="F16">
        <v>5</v>
      </c>
      <c r="G16">
        <v>0.65</v>
      </c>
      <c r="H16">
        <f t="shared" si="4"/>
        <v>2</v>
      </c>
      <c r="I16">
        <f t="shared" si="0"/>
        <v>3.0769230769230766</v>
      </c>
      <c r="J16">
        <v>32.048000000000002</v>
      </c>
      <c r="K16">
        <f t="shared" si="1"/>
        <v>28.971076923076925</v>
      </c>
      <c r="L16">
        <f t="shared" si="2"/>
        <v>28.971076923076925</v>
      </c>
      <c r="M16" s="1">
        <f t="shared" si="3"/>
        <v>18.831200000000003</v>
      </c>
      <c r="P16" t="s">
        <v>6</v>
      </c>
    </row>
    <row r="17" spans="1:16" x14ac:dyDescent="0.3">
      <c r="A17" t="s">
        <v>19</v>
      </c>
      <c r="B17" t="s">
        <v>119</v>
      </c>
      <c r="C17">
        <v>39</v>
      </c>
      <c r="D17">
        <v>0</v>
      </c>
      <c r="E17">
        <v>3</v>
      </c>
      <c r="F17">
        <v>4</v>
      </c>
      <c r="G17">
        <v>0.70599999999999996</v>
      </c>
      <c r="H17">
        <f t="shared" si="4"/>
        <v>1</v>
      </c>
      <c r="I17">
        <f t="shared" si="0"/>
        <v>1.41643059490085</v>
      </c>
      <c r="J17">
        <v>32.048000000000002</v>
      </c>
      <c r="K17">
        <f t="shared" si="1"/>
        <v>30.631569405099153</v>
      </c>
      <c r="L17">
        <f t="shared" si="2"/>
        <v>30.631569405099153</v>
      </c>
      <c r="M17" s="1">
        <f t="shared" si="3"/>
        <v>21.625888</v>
      </c>
      <c r="P17" t="s">
        <v>6</v>
      </c>
    </row>
    <row r="18" spans="1:16" x14ac:dyDescent="0.3">
      <c r="A18" t="s">
        <v>21</v>
      </c>
      <c r="B18" t="s">
        <v>22</v>
      </c>
      <c r="C18">
        <v>42</v>
      </c>
      <c r="D18">
        <v>0</v>
      </c>
      <c r="E18">
        <v>3</v>
      </c>
      <c r="F18">
        <v>4</v>
      </c>
      <c r="G18">
        <v>0.41699999999999998</v>
      </c>
      <c r="H18">
        <f t="shared" si="4"/>
        <v>1</v>
      </c>
      <c r="I18">
        <f t="shared" si="0"/>
        <v>2.3980815347721824</v>
      </c>
      <c r="J18">
        <v>32.048000000000002</v>
      </c>
      <c r="K18">
        <f t="shared" si="1"/>
        <v>29.64991846522782</v>
      </c>
      <c r="L18">
        <f t="shared" si="2"/>
        <v>29.64991846522782</v>
      </c>
      <c r="M18" s="1">
        <f t="shared" si="3"/>
        <v>12.364016000000001</v>
      </c>
      <c r="P18" t="s">
        <v>6</v>
      </c>
    </row>
    <row r="19" spans="1:16" x14ac:dyDescent="0.3">
      <c r="A19" t="s">
        <v>21</v>
      </c>
      <c r="B19" t="s">
        <v>120</v>
      </c>
      <c r="C19">
        <v>44</v>
      </c>
      <c r="D19">
        <v>0</v>
      </c>
      <c r="E19">
        <v>3</v>
      </c>
      <c r="F19">
        <v>4</v>
      </c>
      <c r="G19">
        <v>0.48299999999999998</v>
      </c>
      <c r="H19">
        <f t="shared" si="4"/>
        <v>1</v>
      </c>
      <c r="I19">
        <f t="shared" si="0"/>
        <v>2.0703933747412009</v>
      </c>
      <c r="J19">
        <v>32.048000000000002</v>
      </c>
      <c r="K19">
        <f t="shared" si="1"/>
        <v>29.977606625258801</v>
      </c>
      <c r="L19">
        <f t="shared" si="2"/>
        <v>29.977606625258801</v>
      </c>
      <c r="M19" s="1">
        <f t="shared" si="3"/>
        <v>14.479184</v>
      </c>
      <c r="P19" t="s">
        <v>6</v>
      </c>
    </row>
    <row r="20" spans="1:16" x14ac:dyDescent="0.3">
      <c r="A20" t="s">
        <v>23</v>
      </c>
      <c r="B20" t="s">
        <v>24</v>
      </c>
      <c r="C20">
        <v>47</v>
      </c>
      <c r="D20">
        <v>0</v>
      </c>
      <c r="E20">
        <v>3</v>
      </c>
      <c r="F20">
        <v>4</v>
      </c>
      <c r="G20">
        <v>0.32900000000000001</v>
      </c>
      <c r="H20">
        <f t="shared" si="4"/>
        <v>1</v>
      </c>
      <c r="I20">
        <f t="shared" si="0"/>
        <v>3.0395136778115499</v>
      </c>
      <c r="J20">
        <v>32.048000000000002</v>
      </c>
      <c r="K20">
        <f t="shared" si="1"/>
        <v>29.008486322188453</v>
      </c>
      <c r="L20">
        <f t="shared" si="2"/>
        <v>29.008486322188453</v>
      </c>
      <c r="M20" s="1">
        <f t="shared" si="3"/>
        <v>9.5437920000000016</v>
      </c>
      <c r="P20" t="s">
        <v>6</v>
      </c>
    </row>
    <row r="21" spans="1:16" x14ac:dyDescent="0.3">
      <c r="A21" t="s">
        <v>23</v>
      </c>
      <c r="B21" t="s">
        <v>121</v>
      </c>
      <c r="C21">
        <v>49</v>
      </c>
      <c r="D21">
        <v>0</v>
      </c>
      <c r="E21">
        <v>3</v>
      </c>
      <c r="F21">
        <v>4</v>
      </c>
      <c r="G21">
        <v>0.52100000000000002</v>
      </c>
      <c r="H21">
        <f t="shared" si="4"/>
        <v>1</v>
      </c>
      <c r="I21">
        <f t="shared" si="0"/>
        <v>1.9193857965451055</v>
      </c>
      <c r="J21">
        <v>32.048000000000002</v>
      </c>
      <c r="K21">
        <f t="shared" si="1"/>
        <v>30.128614203454894</v>
      </c>
      <c r="L21">
        <f t="shared" si="2"/>
        <v>30.128614203454894</v>
      </c>
      <c r="M21" s="1">
        <f t="shared" si="3"/>
        <v>15.697008</v>
      </c>
      <c r="P21" t="s">
        <v>6</v>
      </c>
    </row>
    <row r="22" spans="1:16" x14ac:dyDescent="0.3">
      <c r="A22" t="s">
        <v>25</v>
      </c>
      <c r="B22" t="s">
        <v>26</v>
      </c>
      <c r="C22">
        <v>52</v>
      </c>
      <c r="D22">
        <v>0</v>
      </c>
      <c r="E22">
        <v>3</v>
      </c>
      <c r="F22">
        <v>4</v>
      </c>
      <c r="G22">
        <v>0.39100000000000001</v>
      </c>
      <c r="H22">
        <f t="shared" si="4"/>
        <v>1</v>
      </c>
      <c r="I22">
        <f t="shared" si="0"/>
        <v>2.5575447570332481</v>
      </c>
      <c r="J22">
        <v>32.048000000000002</v>
      </c>
      <c r="K22">
        <f t="shared" si="1"/>
        <v>29.490455242966753</v>
      </c>
      <c r="L22">
        <f t="shared" si="2"/>
        <v>29.490455242966753</v>
      </c>
      <c r="M22" s="1">
        <f t="shared" si="3"/>
        <v>11.530768</v>
      </c>
      <c r="P22" t="s">
        <v>6</v>
      </c>
    </row>
    <row r="23" spans="1:16" x14ac:dyDescent="0.3">
      <c r="A23" t="s">
        <v>25</v>
      </c>
      <c r="B23" t="s">
        <v>122</v>
      </c>
      <c r="C23">
        <v>54</v>
      </c>
      <c r="D23">
        <v>0</v>
      </c>
      <c r="E23">
        <v>3</v>
      </c>
      <c r="F23">
        <v>4</v>
      </c>
      <c r="G23">
        <v>0.36699999999999999</v>
      </c>
      <c r="H23">
        <f t="shared" si="4"/>
        <v>1</v>
      </c>
      <c r="I23">
        <f t="shared" si="0"/>
        <v>2.7247956403269757</v>
      </c>
      <c r="J23">
        <v>32.048000000000002</v>
      </c>
      <c r="K23">
        <f t="shared" si="1"/>
        <v>29.323204359673028</v>
      </c>
      <c r="L23">
        <f t="shared" si="2"/>
        <v>29.323204359673028</v>
      </c>
      <c r="M23" s="1">
        <f t="shared" si="3"/>
        <v>10.761616000000002</v>
      </c>
      <c r="P23" t="s">
        <v>6</v>
      </c>
    </row>
    <row r="24" spans="1:16" x14ac:dyDescent="0.3">
      <c r="A24" t="s">
        <v>27</v>
      </c>
      <c r="B24" t="s">
        <v>28</v>
      </c>
      <c r="C24">
        <v>57</v>
      </c>
      <c r="D24">
        <v>0</v>
      </c>
      <c r="E24">
        <v>3</v>
      </c>
      <c r="F24">
        <v>5</v>
      </c>
      <c r="G24">
        <v>0.5</v>
      </c>
      <c r="H24">
        <f t="shared" si="4"/>
        <v>2</v>
      </c>
      <c r="I24">
        <f t="shared" si="0"/>
        <v>4</v>
      </c>
      <c r="J24">
        <v>32.048000000000002</v>
      </c>
      <c r="K24">
        <f t="shared" si="1"/>
        <v>28.048000000000002</v>
      </c>
      <c r="L24">
        <f t="shared" si="2"/>
        <v>28.048000000000002</v>
      </c>
      <c r="M24" s="1">
        <f t="shared" si="3"/>
        <v>14.024000000000001</v>
      </c>
      <c r="P24" t="s">
        <v>6</v>
      </c>
    </row>
    <row r="25" spans="1:16" x14ac:dyDescent="0.3">
      <c r="A25" t="s">
        <v>27</v>
      </c>
      <c r="B25" t="s">
        <v>123</v>
      </c>
      <c r="C25">
        <v>59</v>
      </c>
      <c r="D25">
        <v>0</v>
      </c>
      <c r="E25">
        <v>3</v>
      </c>
      <c r="F25">
        <v>4</v>
      </c>
      <c r="G25">
        <v>0.54500000000000004</v>
      </c>
      <c r="H25">
        <f t="shared" si="4"/>
        <v>1</v>
      </c>
      <c r="I25">
        <f t="shared" si="0"/>
        <v>1.8348623853211008</v>
      </c>
      <c r="J25">
        <v>32.048000000000002</v>
      </c>
      <c r="K25">
        <f t="shared" si="1"/>
        <v>30.213137614678899</v>
      </c>
      <c r="L25">
        <f t="shared" si="2"/>
        <v>30.213137614678899</v>
      </c>
      <c r="M25" s="1">
        <f t="shared" si="3"/>
        <v>16.466160000000002</v>
      </c>
      <c r="P25" t="s">
        <v>6</v>
      </c>
    </row>
    <row r="27" spans="1:16" x14ac:dyDescent="0.3">
      <c r="A27" t="s">
        <v>29</v>
      </c>
      <c r="B27" t="s">
        <v>29</v>
      </c>
      <c r="D27" t="s">
        <v>3</v>
      </c>
      <c r="E27" t="s">
        <v>102</v>
      </c>
      <c r="F27" t="s">
        <v>101</v>
      </c>
      <c r="G27" t="s">
        <v>103</v>
      </c>
      <c r="I27" t="s">
        <v>106</v>
      </c>
      <c r="J27" t="s">
        <v>107</v>
      </c>
      <c r="K27" t="s">
        <v>108</v>
      </c>
      <c r="L27" t="s">
        <v>109</v>
      </c>
      <c r="M27" s="1" t="s">
        <v>110</v>
      </c>
    </row>
    <row r="28" spans="1:16" x14ac:dyDescent="0.3">
      <c r="A28" t="s">
        <v>30</v>
      </c>
      <c r="B28" t="s">
        <v>31</v>
      </c>
      <c r="C28">
        <v>65</v>
      </c>
      <c r="D28">
        <v>4</v>
      </c>
      <c r="E28">
        <v>37</v>
      </c>
      <c r="F28">
        <v>37</v>
      </c>
      <c r="G28">
        <v>1.4999999999999999E-2</v>
      </c>
      <c r="H28">
        <f t="shared" ref="H28:H78" si="5">F28-E28</f>
        <v>0</v>
      </c>
      <c r="I28">
        <f t="shared" ref="I28:I34" si="6">(F28-E28)/G28</f>
        <v>0</v>
      </c>
      <c r="J28">
        <v>19.126999999999999</v>
      </c>
      <c r="K28">
        <f t="shared" ref="K28:K78" si="7">J28-I28</f>
        <v>19.126999999999999</v>
      </c>
      <c r="L28">
        <f t="shared" ref="L28:L78" si="8">IF(K28&gt;0,K28,0)</f>
        <v>19.126999999999999</v>
      </c>
      <c r="M28" s="1">
        <f t="shared" ref="M28:M34" si="9">L28*G28</f>
        <v>0.28690499999999997</v>
      </c>
      <c r="P28" t="s">
        <v>32</v>
      </c>
    </row>
    <row r="29" spans="1:16" x14ac:dyDescent="0.3">
      <c r="A29" t="s">
        <v>33</v>
      </c>
      <c r="B29" t="s">
        <v>34</v>
      </c>
      <c r="C29">
        <v>74</v>
      </c>
      <c r="D29">
        <v>5</v>
      </c>
      <c r="E29">
        <v>112</v>
      </c>
      <c r="F29">
        <v>120</v>
      </c>
      <c r="G29">
        <v>0.443</v>
      </c>
      <c r="H29">
        <f t="shared" si="5"/>
        <v>8</v>
      </c>
      <c r="I29">
        <f t="shared" si="6"/>
        <v>18.058690744920995</v>
      </c>
      <c r="J29">
        <v>19.126999999999999</v>
      </c>
      <c r="K29">
        <f t="shared" si="7"/>
        <v>1.0683092550790043</v>
      </c>
      <c r="L29">
        <f t="shared" si="8"/>
        <v>1.0683092550790043</v>
      </c>
      <c r="M29" s="1">
        <f t="shared" si="9"/>
        <v>0.47326099999999893</v>
      </c>
      <c r="P29" s="2" t="s">
        <v>32</v>
      </c>
    </row>
    <row r="30" spans="1:16" x14ac:dyDescent="0.3">
      <c r="A30" t="s">
        <v>35</v>
      </c>
      <c r="B30" t="s">
        <v>36</v>
      </c>
      <c r="C30">
        <v>83</v>
      </c>
      <c r="D30">
        <v>10</v>
      </c>
      <c r="E30">
        <v>55</v>
      </c>
      <c r="F30">
        <v>88</v>
      </c>
      <c r="G30">
        <v>1.002</v>
      </c>
      <c r="H30">
        <f t="shared" si="5"/>
        <v>33</v>
      </c>
      <c r="I30">
        <f t="shared" si="6"/>
        <v>32.934131736526943</v>
      </c>
      <c r="J30">
        <v>19.126999999999999</v>
      </c>
      <c r="K30">
        <f t="shared" si="7"/>
        <v>-13.807131736526944</v>
      </c>
      <c r="L30">
        <f t="shared" si="8"/>
        <v>0</v>
      </c>
      <c r="M30" s="1">
        <f t="shared" si="9"/>
        <v>0</v>
      </c>
      <c r="P30" t="s">
        <v>32</v>
      </c>
    </row>
    <row r="31" spans="1:16" x14ac:dyDescent="0.3">
      <c r="A31" t="s">
        <v>37</v>
      </c>
      <c r="B31" t="s">
        <v>38</v>
      </c>
      <c r="C31">
        <v>86</v>
      </c>
      <c r="D31">
        <v>10</v>
      </c>
      <c r="E31">
        <v>17</v>
      </c>
      <c r="F31">
        <v>17</v>
      </c>
      <c r="G31">
        <v>0.13200000000000001</v>
      </c>
      <c r="H31">
        <f t="shared" si="5"/>
        <v>0</v>
      </c>
      <c r="I31">
        <f t="shared" si="6"/>
        <v>0</v>
      </c>
      <c r="J31">
        <v>19.126999999999999</v>
      </c>
      <c r="K31">
        <f t="shared" si="7"/>
        <v>19.126999999999999</v>
      </c>
      <c r="L31">
        <f t="shared" si="8"/>
        <v>19.126999999999999</v>
      </c>
      <c r="M31" s="1">
        <f t="shared" si="9"/>
        <v>2.5247639999999998</v>
      </c>
      <c r="P31" t="s">
        <v>32</v>
      </c>
    </row>
    <row r="32" spans="1:16" x14ac:dyDescent="0.3">
      <c r="A32" t="s">
        <v>39</v>
      </c>
      <c r="B32" t="s">
        <v>40</v>
      </c>
      <c r="C32">
        <v>88</v>
      </c>
      <c r="D32">
        <v>10</v>
      </c>
      <c r="E32">
        <v>246</v>
      </c>
      <c r="F32">
        <v>247</v>
      </c>
      <c r="G32">
        <v>1.476</v>
      </c>
      <c r="H32">
        <f t="shared" si="5"/>
        <v>1</v>
      </c>
      <c r="I32">
        <f t="shared" si="6"/>
        <v>0.6775067750677507</v>
      </c>
      <c r="J32">
        <v>19.126999999999999</v>
      </c>
      <c r="K32">
        <f t="shared" si="7"/>
        <v>18.449493224932247</v>
      </c>
      <c r="L32">
        <f t="shared" si="8"/>
        <v>18.449493224932247</v>
      </c>
      <c r="M32" s="1">
        <f t="shared" si="9"/>
        <v>27.231451999999997</v>
      </c>
      <c r="P32" s="2" t="s">
        <v>32</v>
      </c>
    </row>
    <row r="33" spans="1:16" x14ac:dyDescent="0.3">
      <c r="A33" t="s">
        <v>41</v>
      </c>
      <c r="B33" t="s">
        <v>42</v>
      </c>
      <c r="C33">
        <v>91</v>
      </c>
      <c r="D33">
        <v>10</v>
      </c>
      <c r="E33">
        <v>117</v>
      </c>
      <c r="F33">
        <v>118</v>
      </c>
      <c r="G33">
        <v>1.5449999999999999</v>
      </c>
      <c r="H33">
        <f t="shared" si="5"/>
        <v>1</v>
      </c>
      <c r="I33">
        <f t="shared" si="6"/>
        <v>0.64724919093851141</v>
      </c>
      <c r="J33">
        <v>19.126999999999999</v>
      </c>
      <c r="K33">
        <f t="shared" si="7"/>
        <v>18.479750809061489</v>
      </c>
      <c r="L33">
        <f t="shared" si="8"/>
        <v>18.479750809061489</v>
      </c>
      <c r="M33" s="1">
        <f t="shared" si="9"/>
        <v>28.551214999999999</v>
      </c>
      <c r="P33" t="s">
        <v>32</v>
      </c>
    </row>
    <row r="34" spans="1:16" x14ac:dyDescent="0.3">
      <c r="A34" t="s">
        <v>43</v>
      </c>
      <c r="B34" t="s">
        <v>44</v>
      </c>
      <c r="C34">
        <v>94</v>
      </c>
      <c r="D34">
        <v>10</v>
      </c>
      <c r="E34">
        <v>880</v>
      </c>
      <c r="F34">
        <v>881</v>
      </c>
      <c r="G34">
        <v>0.52800000000000002</v>
      </c>
      <c r="H34">
        <f t="shared" si="5"/>
        <v>1</v>
      </c>
      <c r="I34">
        <f t="shared" si="6"/>
        <v>1.8939393939393938</v>
      </c>
      <c r="J34">
        <v>19.126999999999999</v>
      </c>
      <c r="K34">
        <f t="shared" si="7"/>
        <v>17.233060606060604</v>
      </c>
      <c r="L34">
        <f t="shared" si="8"/>
        <v>17.233060606060604</v>
      </c>
      <c r="M34" s="1">
        <f t="shared" si="9"/>
        <v>9.0990559999999991</v>
      </c>
      <c r="P34" t="s">
        <v>32</v>
      </c>
    </row>
    <row r="36" spans="1:16" x14ac:dyDescent="0.3">
      <c r="A36" t="s">
        <v>29</v>
      </c>
      <c r="B36" t="s">
        <v>29</v>
      </c>
      <c r="D36" t="s">
        <v>3</v>
      </c>
      <c r="E36" t="s">
        <v>102</v>
      </c>
      <c r="F36" t="s">
        <v>101</v>
      </c>
      <c r="G36" t="s">
        <v>103</v>
      </c>
      <c r="I36" t="s">
        <v>106</v>
      </c>
      <c r="J36" t="s">
        <v>107</v>
      </c>
      <c r="K36" t="s">
        <v>108</v>
      </c>
      <c r="L36" t="s">
        <v>109</v>
      </c>
      <c r="M36" s="1" t="s">
        <v>110</v>
      </c>
    </row>
    <row r="37" spans="1:16" x14ac:dyDescent="0.3">
      <c r="A37" t="s">
        <v>45</v>
      </c>
      <c r="B37" t="s">
        <v>46</v>
      </c>
      <c r="C37">
        <v>100</v>
      </c>
      <c r="D37">
        <v>11</v>
      </c>
      <c r="E37">
        <v>127</v>
      </c>
      <c r="F37">
        <v>255</v>
      </c>
      <c r="G37">
        <v>0.35899999999999999</v>
      </c>
      <c r="H37">
        <f t="shared" si="5"/>
        <v>128</v>
      </c>
      <c r="I37">
        <f t="shared" ref="I37:I43" si="10">(F37-E37)/G37</f>
        <v>356.54596100278553</v>
      </c>
      <c r="J37">
        <v>11.515000000000001</v>
      </c>
      <c r="K37">
        <f t="shared" si="7"/>
        <v>-345.03096100278555</v>
      </c>
      <c r="L37">
        <f t="shared" si="8"/>
        <v>0</v>
      </c>
      <c r="M37" s="1">
        <f t="shared" ref="M37:M43" si="11">L37*G37</f>
        <v>0</v>
      </c>
      <c r="P37" t="s">
        <v>6</v>
      </c>
    </row>
    <row r="38" spans="1:16" x14ac:dyDescent="0.3">
      <c r="A38" t="s">
        <v>45</v>
      </c>
      <c r="B38" s="3" t="s">
        <v>47</v>
      </c>
      <c r="C38">
        <v>101</v>
      </c>
      <c r="D38">
        <v>11</v>
      </c>
      <c r="E38">
        <v>127</v>
      </c>
      <c r="F38">
        <v>127</v>
      </c>
      <c r="G38">
        <v>1.42</v>
      </c>
      <c r="H38">
        <f t="shared" si="5"/>
        <v>0</v>
      </c>
      <c r="I38">
        <f t="shared" si="10"/>
        <v>0</v>
      </c>
      <c r="J38">
        <v>11.515000000000001</v>
      </c>
      <c r="K38">
        <f t="shared" si="7"/>
        <v>11.515000000000001</v>
      </c>
      <c r="L38">
        <f t="shared" si="8"/>
        <v>11.515000000000001</v>
      </c>
      <c r="M38" s="1">
        <f t="shared" si="11"/>
        <v>16.351299999999998</v>
      </c>
      <c r="P38" t="s">
        <v>6</v>
      </c>
    </row>
    <row r="39" spans="1:16" x14ac:dyDescent="0.3">
      <c r="A39" t="s">
        <v>45</v>
      </c>
      <c r="B39" s="3" t="s">
        <v>48</v>
      </c>
      <c r="C39">
        <v>102</v>
      </c>
      <c r="D39">
        <v>11</v>
      </c>
      <c r="E39">
        <v>127</v>
      </c>
      <c r="F39">
        <v>255</v>
      </c>
      <c r="G39">
        <v>1.7789999999999999</v>
      </c>
      <c r="H39">
        <f t="shared" si="5"/>
        <v>128</v>
      </c>
      <c r="I39">
        <f t="shared" si="10"/>
        <v>71.950534007869592</v>
      </c>
      <c r="J39">
        <v>11.515000000000001</v>
      </c>
      <c r="K39">
        <f t="shared" si="7"/>
        <v>-60.435534007869592</v>
      </c>
      <c r="L39" s="3">
        <v>11.515000000000001</v>
      </c>
      <c r="M39" s="1">
        <f t="shared" si="11"/>
        <v>20.485185000000001</v>
      </c>
      <c r="P39" t="s">
        <v>6</v>
      </c>
    </row>
    <row r="40" spans="1:16" x14ac:dyDescent="0.3">
      <c r="A40" t="s">
        <v>49</v>
      </c>
      <c r="B40" t="s">
        <v>50</v>
      </c>
      <c r="C40">
        <v>104</v>
      </c>
      <c r="D40">
        <v>11</v>
      </c>
      <c r="E40">
        <v>104</v>
      </c>
      <c r="F40">
        <v>162</v>
      </c>
      <c r="G40">
        <v>0.182</v>
      </c>
      <c r="H40">
        <f t="shared" si="5"/>
        <v>58</v>
      </c>
      <c r="I40">
        <f t="shared" si="10"/>
        <v>318.68131868131871</v>
      </c>
      <c r="J40">
        <v>11.515000000000001</v>
      </c>
      <c r="K40">
        <f t="shared" si="7"/>
        <v>-307.16631868131873</v>
      </c>
      <c r="L40">
        <f t="shared" si="8"/>
        <v>0</v>
      </c>
      <c r="M40" s="1">
        <f t="shared" si="11"/>
        <v>0</v>
      </c>
      <c r="P40" t="s">
        <v>6</v>
      </c>
    </row>
    <row r="41" spans="1:16" x14ac:dyDescent="0.3">
      <c r="A41" t="s">
        <v>49</v>
      </c>
      <c r="B41" s="3" t="s">
        <v>51</v>
      </c>
      <c r="C41">
        <v>105</v>
      </c>
      <c r="D41">
        <v>11</v>
      </c>
      <c r="E41">
        <v>104</v>
      </c>
      <c r="F41">
        <v>104</v>
      </c>
      <c r="G41">
        <v>1.42</v>
      </c>
      <c r="H41">
        <f t="shared" si="5"/>
        <v>0</v>
      </c>
      <c r="I41">
        <f t="shared" si="10"/>
        <v>0</v>
      </c>
      <c r="J41">
        <v>11.515000000000001</v>
      </c>
      <c r="K41">
        <f t="shared" si="7"/>
        <v>11.515000000000001</v>
      </c>
      <c r="L41">
        <f t="shared" si="8"/>
        <v>11.515000000000001</v>
      </c>
      <c r="M41" s="1">
        <f t="shared" si="11"/>
        <v>16.351299999999998</v>
      </c>
      <c r="P41" t="s">
        <v>6</v>
      </c>
    </row>
    <row r="42" spans="1:16" x14ac:dyDescent="0.3">
      <c r="A42" t="s">
        <v>49</v>
      </c>
      <c r="B42" s="3" t="s">
        <v>52</v>
      </c>
      <c r="C42">
        <v>106</v>
      </c>
      <c r="D42">
        <v>11</v>
      </c>
      <c r="E42">
        <v>104</v>
      </c>
      <c r="F42">
        <v>162</v>
      </c>
      <c r="G42">
        <v>1.6020000000000001</v>
      </c>
      <c r="H42">
        <f t="shared" si="5"/>
        <v>58</v>
      </c>
      <c r="I42">
        <f t="shared" si="10"/>
        <v>36.204744069912607</v>
      </c>
      <c r="J42">
        <v>11.515000000000001</v>
      </c>
      <c r="K42">
        <f t="shared" si="7"/>
        <v>-24.689744069912607</v>
      </c>
      <c r="L42" s="3">
        <v>11.515000000000001</v>
      </c>
      <c r="M42" s="1">
        <f t="shared" si="11"/>
        <v>18.447030000000002</v>
      </c>
      <c r="P42" t="s">
        <v>6</v>
      </c>
    </row>
    <row r="43" spans="1:16" x14ac:dyDescent="0.3">
      <c r="A43" t="s">
        <v>53</v>
      </c>
      <c r="B43" s="3" t="s">
        <v>54</v>
      </c>
      <c r="C43">
        <v>108</v>
      </c>
      <c r="D43">
        <v>11</v>
      </c>
      <c r="E43">
        <v>170</v>
      </c>
      <c r="F43">
        <v>170</v>
      </c>
      <c r="G43">
        <v>2.5569999999999999</v>
      </c>
      <c r="H43">
        <f t="shared" si="5"/>
        <v>0</v>
      </c>
      <c r="I43">
        <f t="shared" si="10"/>
        <v>0</v>
      </c>
      <c r="J43">
        <v>11.515000000000001</v>
      </c>
      <c r="K43">
        <f t="shared" si="7"/>
        <v>11.515000000000001</v>
      </c>
      <c r="L43">
        <f t="shared" si="8"/>
        <v>11.515000000000001</v>
      </c>
      <c r="M43" s="1">
        <f t="shared" si="11"/>
        <v>29.443854999999999</v>
      </c>
      <c r="P43" t="s">
        <v>6</v>
      </c>
    </row>
    <row r="45" spans="1:16" x14ac:dyDescent="0.3">
      <c r="A45" t="s">
        <v>29</v>
      </c>
      <c r="B45" t="s">
        <v>29</v>
      </c>
      <c r="D45" t="s">
        <v>3</v>
      </c>
      <c r="E45" t="s">
        <v>102</v>
      </c>
      <c r="F45" t="s">
        <v>101</v>
      </c>
      <c r="G45" t="s">
        <v>103</v>
      </c>
      <c r="I45" t="s">
        <v>106</v>
      </c>
      <c r="J45" t="s">
        <v>107</v>
      </c>
      <c r="K45" t="s">
        <v>108</v>
      </c>
      <c r="L45" t="s">
        <v>109</v>
      </c>
      <c r="M45" s="1" t="s">
        <v>110</v>
      </c>
    </row>
    <row r="46" spans="1:16" x14ac:dyDescent="0.3">
      <c r="A46" t="s">
        <v>55</v>
      </c>
      <c r="B46" s="3" t="s">
        <v>56</v>
      </c>
      <c r="C46">
        <v>116</v>
      </c>
      <c r="D46">
        <v>12</v>
      </c>
      <c r="E46">
        <v>30</v>
      </c>
      <c r="F46">
        <v>30</v>
      </c>
      <c r="G46">
        <v>0.40899999999999997</v>
      </c>
      <c r="H46">
        <f t="shared" si="5"/>
        <v>0</v>
      </c>
      <c r="I46">
        <f t="shared" ref="I46:I51" si="12">(F46-E46)/G46</f>
        <v>0</v>
      </c>
      <c r="J46">
        <v>11.515000000000001</v>
      </c>
      <c r="K46">
        <f t="shared" si="7"/>
        <v>11.515000000000001</v>
      </c>
      <c r="L46">
        <f t="shared" si="8"/>
        <v>11.515000000000001</v>
      </c>
      <c r="M46" s="1">
        <f t="shared" ref="M46:M51" si="13">L46*G46</f>
        <v>4.7096349999999996</v>
      </c>
      <c r="P46" t="s">
        <v>6</v>
      </c>
    </row>
    <row r="47" spans="1:16" x14ac:dyDescent="0.3">
      <c r="A47" t="s">
        <v>57</v>
      </c>
      <c r="B47" s="3" t="s">
        <v>58</v>
      </c>
      <c r="C47">
        <v>118</v>
      </c>
      <c r="D47">
        <v>12</v>
      </c>
      <c r="E47">
        <v>30</v>
      </c>
      <c r="F47">
        <v>30</v>
      </c>
      <c r="G47">
        <v>0.73599999999999999</v>
      </c>
      <c r="H47">
        <f t="shared" si="5"/>
        <v>0</v>
      </c>
      <c r="I47">
        <f t="shared" si="12"/>
        <v>0</v>
      </c>
      <c r="J47">
        <v>11.515000000000001</v>
      </c>
      <c r="K47">
        <f t="shared" si="7"/>
        <v>11.515000000000001</v>
      </c>
      <c r="L47">
        <f t="shared" si="8"/>
        <v>11.515000000000001</v>
      </c>
      <c r="M47" s="1">
        <f t="shared" si="13"/>
        <v>8.4750399999999999</v>
      </c>
      <c r="P47" t="s">
        <v>6</v>
      </c>
    </row>
    <row r="48" spans="1:16" x14ac:dyDescent="0.3">
      <c r="A48" t="s">
        <v>59</v>
      </c>
      <c r="B48" t="s">
        <v>60</v>
      </c>
      <c r="C48">
        <v>127</v>
      </c>
      <c r="D48">
        <v>13</v>
      </c>
      <c r="E48">
        <v>33</v>
      </c>
      <c r="F48">
        <v>66</v>
      </c>
      <c r="G48">
        <v>0.10299999999999999</v>
      </c>
      <c r="H48">
        <f t="shared" si="5"/>
        <v>33</v>
      </c>
      <c r="I48">
        <f t="shared" si="12"/>
        <v>320.38834951456312</v>
      </c>
      <c r="J48">
        <v>11.515000000000001</v>
      </c>
      <c r="K48">
        <f t="shared" si="7"/>
        <v>-308.87334951456313</v>
      </c>
      <c r="L48">
        <f t="shared" si="8"/>
        <v>0</v>
      </c>
      <c r="M48" s="1">
        <f t="shared" si="13"/>
        <v>0</v>
      </c>
      <c r="P48" t="s">
        <v>6</v>
      </c>
    </row>
    <row r="49" spans="1:16" x14ac:dyDescent="0.3">
      <c r="A49" t="s">
        <v>59</v>
      </c>
      <c r="B49" s="3" t="s">
        <v>61</v>
      </c>
      <c r="C49">
        <v>128</v>
      </c>
      <c r="D49">
        <v>13</v>
      </c>
      <c r="E49">
        <v>33</v>
      </c>
      <c r="F49">
        <v>33</v>
      </c>
      <c r="G49">
        <v>7.0000000000000007E-2</v>
      </c>
      <c r="H49">
        <f t="shared" si="5"/>
        <v>0</v>
      </c>
      <c r="I49">
        <f t="shared" si="12"/>
        <v>0</v>
      </c>
      <c r="J49">
        <v>11.515000000000001</v>
      </c>
      <c r="K49">
        <f t="shared" si="7"/>
        <v>11.515000000000001</v>
      </c>
      <c r="L49">
        <f t="shared" si="8"/>
        <v>11.515000000000001</v>
      </c>
      <c r="M49" s="1">
        <f t="shared" si="13"/>
        <v>0.80605000000000016</v>
      </c>
      <c r="P49" t="s">
        <v>6</v>
      </c>
    </row>
    <row r="50" spans="1:16" x14ac:dyDescent="0.3">
      <c r="A50" t="s">
        <v>59</v>
      </c>
      <c r="B50" s="3" t="s">
        <v>62</v>
      </c>
      <c r="C50">
        <v>129</v>
      </c>
      <c r="D50">
        <v>13</v>
      </c>
      <c r="E50">
        <v>33</v>
      </c>
      <c r="F50">
        <v>66</v>
      </c>
      <c r="G50">
        <v>0.17299999999999999</v>
      </c>
      <c r="H50">
        <f t="shared" si="5"/>
        <v>33</v>
      </c>
      <c r="I50">
        <f t="shared" si="12"/>
        <v>190.75144508670522</v>
      </c>
      <c r="J50">
        <v>11.515000000000001</v>
      </c>
      <c r="K50">
        <f t="shared" si="7"/>
        <v>-179.2364450867052</v>
      </c>
      <c r="L50" s="3">
        <v>11.515000000000001</v>
      </c>
      <c r="M50" s="1">
        <f t="shared" si="13"/>
        <v>1.9920949999999999</v>
      </c>
      <c r="P50" t="s">
        <v>6</v>
      </c>
    </row>
    <row r="51" spans="1:16" x14ac:dyDescent="0.3">
      <c r="A51" t="s">
        <v>63</v>
      </c>
      <c r="B51" s="3" t="s">
        <v>64</v>
      </c>
      <c r="C51">
        <v>131</v>
      </c>
      <c r="D51">
        <v>13</v>
      </c>
      <c r="E51">
        <v>11</v>
      </c>
      <c r="F51">
        <v>11</v>
      </c>
      <c r="G51">
        <v>1.4510000000000001</v>
      </c>
      <c r="H51">
        <f t="shared" si="5"/>
        <v>0</v>
      </c>
      <c r="I51">
        <f t="shared" si="12"/>
        <v>0</v>
      </c>
      <c r="J51">
        <v>11.515000000000001</v>
      </c>
      <c r="K51">
        <f t="shared" si="7"/>
        <v>11.515000000000001</v>
      </c>
      <c r="L51">
        <f t="shared" si="8"/>
        <v>11.515000000000001</v>
      </c>
      <c r="M51" s="1">
        <f t="shared" si="13"/>
        <v>16.708265000000001</v>
      </c>
      <c r="P51" t="s">
        <v>6</v>
      </c>
    </row>
    <row r="53" spans="1:16" x14ac:dyDescent="0.3">
      <c r="A53" t="s">
        <v>29</v>
      </c>
      <c r="B53" t="s">
        <v>29</v>
      </c>
      <c r="D53" t="s">
        <v>3</v>
      </c>
      <c r="E53" t="s">
        <v>102</v>
      </c>
      <c r="F53" t="s">
        <v>101</v>
      </c>
      <c r="G53" t="s">
        <v>103</v>
      </c>
      <c r="I53" t="s">
        <v>106</v>
      </c>
      <c r="J53" t="s">
        <v>107</v>
      </c>
      <c r="K53" t="s">
        <v>108</v>
      </c>
      <c r="L53" t="s">
        <v>109</v>
      </c>
      <c r="M53" s="1" t="s">
        <v>110</v>
      </c>
    </row>
    <row r="54" spans="1:16" x14ac:dyDescent="0.3">
      <c r="A54" t="s">
        <v>65</v>
      </c>
      <c r="B54" t="s">
        <v>66</v>
      </c>
      <c r="C54">
        <v>140</v>
      </c>
      <c r="D54">
        <v>15</v>
      </c>
      <c r="E54">
        <v>53</v>
      </c>
      <c r="F54">
        <v>55</v>
      </c>
      <c r="G54">
        <v>9.7000000000000003E-2</v>
      </c>
      <c r="H54">
        <f t="shared" si="5"/>
        <v>2</v>
      </c>
      <c r="I54">
        <f>(F54-E54)/G54</f>
        <v>20.618556701030926</v>
      </c>
      <c r="J54">
        <v>160</v>
      </c>
      <c r="K54">
        <f t="shared" si="7"/>
        <v>139.38144329896909</v>
      </c>
      <c r="L54">
        <f t="shared" si="8"/>
        <v>139.38144329896909</v>
      </c>
      <c r="M54" s="1">
        <f>L54*G54</f>
        <v>13.520000000000001</v>
      </c>
      <c r="P54" t="s">
        <v>67</v>
      </c>
    </row>
    <row r="55" spans="1:16" x14ac:dyDescent="0.3">
      <c r="A55" t="s">
        <v>68</v>
      </c>
      <c r="B55" s="4" t="s">
        <v>69</v>
      </c>
      <c r="C55">
        <v>142</v>
      </c>
      <c r="D55">
        <v>15</v>
      </c>
      <c r="E55">
        <v>55</v>
      </c>
      <c r="F55">
        <v>55</v>
      </c>
      <c r="G55">
        <v>2.1000000000000001E-2</v>
      </c>
      <c r="H55">
        <f t="shared" si="5"/>
        <v>0</v>
      </c>
      <c r="I55">
        <f>(F55-E55)/G55</f>
        <v>0</v>
      </c>
      <c r="J55">
        <v>160</v>
      </c>
      <c r="K55">
        <f t="shared" si="7"/>
        <v>160</v>
      </c>
      <c r="L55">
        <f t="shared" si="8"/>
        <v>160</v>
      </c>
      <c r="M55" s="1">
        <f>L55*G55</f>
        <v>3.3600000000000003</v>
      </c>
      <c r="P55" t="s">
        <v>67</v>
      </c>
    </row>
    <row r="56" spans="1:16" x14ac:dyDescent="0.3">
      <c r="A56" t="s">
        <v>70</v>
      </c>
      <c r="B56" s="4" t="s">
        <v>71</v>
      </c>
      <c r="C56">
        <v>144</v>
      </c>
      <c r="D56">
        <v>15</v>
      </c>
      <c r="E56">
        <v>68</v>
      </c>
      <c r="F56">
        <v>68</v>
      </c>
      <c r="G56">
        <v>2.1000000000000001E-2</v>
      </c>
      <c r="H56">
        <f t="shared" si="5"/>
        <v>0</v>
      </c>
      <c r="I56">
        <f>(F56-E56)/G56</f>
        <v>0</v>
      </c>
      <c r="J56">
        <v>160</v>
      </c>
      <c r="K56">
        <f t="shared" si="7"/>
        <v>160</v>
      </c>
      <c r="L56">
        <f t="shared" si="8"/>
        <v>160</v>
      </c>
      <c r="M56" s="1">
        <f>L56*G56</f>
        <v>3.3600000000000003</v>
      </c>
      <c r="P56" t="s">
        <v>67</v>
      </c>
    </row>
    <row r="57" spans="1:16" x14ac:dyDescent="0.3">
      <c r="A57" t="s">
        <v>72</v>
      </c>
      <c r="B57" s="4" t="s">
        <v>73</v>
      </c>
      <c r="C57">
        <v>146</v>
      </c>
      <c r="D57">
        <v>15</v>
      </c>
      <c r="E57">
        <v>50</v>
      </c>
      <c r="F57">
        <v>51</v>
      </c>
      <c r="G57">
        <v>2.1000000000000001E-2</v>
      </c>
      <c r="H57">
        <f t="shared" si="5"/>
        <v>1</v>
      </c>
      <c r="I57">
        <f>(F57-E57)/G57</f>
        <v>47.619047619047613</v>
      </c>
      <c r="J57">
        <v>160</v>
      </c>
      <c r="K57">
        <f t="shared" si="7"/>
        <v>112.38095238095238</v>
      </c>
      <c r="L57">
        <f t="shared" si="8"/>
        <v>112.38095238095238</v>
      </c>
      <c r="M57" s="1">
        <f>L57*G57</f>
        <v>2.3600000000000003</v>
      </c>
      <c r="P57" t="s">
        <v>67</v>
      </c>
    </row>
    <row r="59" spans="1:16" x14ac:dyDescent="0.3">
      <c r="A59" t="s">
        <v>29</v>
      </c>
      <c r="B59" t="s">
        <v>29</v>
      </c>
      <c r="D59" t="s">
        <v>3</v>
      </c>
      <c r="E59" t="s">
        <v>102</v>
      </c>
      <c r="F59" t="s">
        <v>101</v>
      </c>
      <c r="G59" t="s">
        <v>103</v>
      </c>
      <c r="I59" t="s">
        <v>106</v>
      </c>
      <c r="J59" t="s">
        <v>107</v>
      </c>
      <c r="K59" t="s">
        <v>108</v>
      </c>
      <c r="L59" t="s">
        <v>109</v>
      </c>
      <c r="M59" s="1" t="s">
        <v>110</v>
      </c>
    </row>
    <row r="60" spans="1:16" x14ac:dyDescent="0.3">
      <c r="A60" t="s">
        <v>65</v>
      </c>
      <c r="B60" t="s">
        <v>66</v>
      </c>
      <c r="C60">
        <v>152</v>
      </c>
      <c r="D60">
        <v>16</v>
      </c>
      <c r="E60">
        <v>80</v>
      </c>
      <c r="F60">
        <v>84</v>
      </c>
      <c r="G60">
        <v>0.183</v>
      </c>
      <c r="H60">
        <f t="shared" si="5"/>
        <v>4</v>
      </c>
      <c r="I60">
        <f>(F60-E60)/G60</f>
        <v>21.857923497267759</v>
      </c>
      <c r="J60">
        <v>160</v>
      </c>
      <c r="K60">
        <f t="shared" si="7"/>
        <v>138.14207650273224</v>
      </c>
      <c r="L60">
        <f t="shared" si="8"/>
        <v>138.14207650273224</v>
      </c>
      <c r="M60" s="1">
        <f>L60*G60</f>
        <v>25.279999999999998</v>
      </c>
      <c r="P60" t="s">
        <v>67</v>
      </c>
    </row>
    <row r="61" spans="1:16" x14ac:dyDescent="0.3">
      <c r="A61" t="s">
        <v>68</v>
      </c>
      <c r="B61" s="4" t="s">
        <v>69</v>
      </c>
      <c r="C61">
        <v>154</v>
      </c>
      <c r="D61">
        <v>16</v>
      </c>
      <c r="E61">
        <v>77</v>
      </c>
      <c r="F61">
        <v>79</v>
      </c>
      <c r="G61">
        <v>6.6000000000000003E-2</v>
      </c>
      <c r="H61">
        <f t="shared" si="5"/>
        <v>2</v>
      </c>
      <c r="I61">
        <f>(F61-E61)/G61</f>
        <v>30.303030303030301</v>
      </c>
      <c r="J61">
        <v>160</v>
      </c>
      <c r="K61">
        <f t="shared" si="7"/>
        <v>129.69696969696969</v>
      </c>
      <c r="L61">
        <f t="shared" si="8"/>
        <v>129.69696969696969</v>
      </c>
      <c r="M61" s="1">
        <f>L61*G61</f>
        <v>8.56</v>
      </c>
      <c r="P61" t="s">
        <v>67</v>
      </c>
    </row>
    <row r="62" spans="1:16" x14ac:dyDescent="0.3">
      <c r="A62" t="s">
        <v>70</v>
      </c>
      <c r="B62" s="4" t="s">
        <v>71</v>
      </c>
      <c r="C62">
        <v>156</v>
      </c>
      <c r="D62">
        <v>16</v>
      </c>
      <c r="E62">
        <v>96</v>
      </c>
      <c r="F62">
        <v>97</v>
      </c>
      <c r="G62">
        <v>6.6000000000000003E-2</v>
      </c>
      <c r="H62">
        <f t="shared" si="5"/>
        <v>1</v>
      </c>
      <c r="I62">
        <f>(F62-E62)/G62</f>
        <v>15.15151515151515</v>
      </c>
      <c r="J62">
        <v>160</v>
      </c>
      <c r="K62">
        <f t="shared" si="7"/>
        <v>144.84848484848484</v>
      </c>
      <c r="L62">
        <f t="shared" si="8"/>
        <v>144.84848484848484</v>
      </c>
      <c r="M62" s="1">
        <f>L62*G62</f>
        <v>9.56</v>
      </c>
      <c r="P62" t="s">
        <v>67</v>
      </c>
    </row>
    <row r="63" spans="1:16" x14ac:dyDescent="0.3">
      <c r="A63" t="s">
        <v>72</v>
      </c>
      <c r="B63" s="4" t="s">
        <v>73</v>
      </c>
      <c r="C63">
        <v>158</v>
      </c>
      <c r="D63">
        <v>16</v>
      </c>
      <c r="E63">
        <v>71</v>
      </c>
      <c r="F63">
        <v>72</v>
      </c>
      <c r="G63">
        <v>6.6000000000000003E-2</v>
      </c>
      <c r="H63">
        <f t="shared" si="5"/>
        <v>1</v>
      </c>
      <c r="I63">
        <f>(F63-E63)/G63</f>
        <v>15.15151515151515</v>
      </c>
      <c r="J63">
        <v>160</v>
      </c>
      <c r="K63">
        <f t="shared" si="7"/>
        <v>144.84848484848484</v>
      </c>
      <c r="L63">
        <f t="shared" si="8"/>
        <v>144.84848484848484</v>
      </c>
      <c r="M63" s="1">
        <f>L63*G63</f>
        <v>9.56</v>
      </c>
      <c r="P63" t="s">
        <v>67</v>
      </c>
    </row>
    <row r="65" spans="1:16" x14ac:dyDescent="0.3">
      <c r="A65" t="s">
        <v>29</v>
      </c>
      <c r="B65" t="s">
        <v>29</v>
      </c>
      <c r="D65" t="s">
        <v>3</v>
      </c>
      <c r="E65" t="s">
        <v>102</v>
      </c>
      <c r="F65" t="s">
        <v>101</v>
      </c>
      <c r="G65" t="s">
        <v>103</v>
      </c>
      <c r="I65" t="s">
        <v>106</v>
      </c>
      <c r="J65" t="s">
        <v>107</v>
      </c>
      <c r="K65" t="s">
        <v>108</v>
      </c>
      <c r="L65" t="s">
        <v>109</v>
      </c>
      <c r="M65" s="1" t="s">
        <v>110</v>
      </c>
    </row>
    <row r="66" spans="1:16" x14ac:dyDescent="0.3">
      <c r="A66" t="s">
        <v>65</v>
      </c>
      <c r="B66" t="s">
        <v>66</v>
      </c>
      <c r="C66">
        <v>164</v>
      </c>
      <c r="D66">
        <v>17</v>
      </c>
      <c r="E66">
        <v>61</v>
      </c>
      <c r="F66">
        <v>64</v>
      </c>
      <c r="G66">
        <v>0.14000000000000001</v>
      </c>
      <c r="H66">
        <f t="shared" si="5"/>
        <v>3</v>
      </c>
      <c r="I66">
        <f>(F66-E66)/G66</f>
        <v>21.428571428571427</v>
      </c>
      <c r="J66">
        <v>160</v>
      </c>
      <c r="K66">
        <f t="shared" si="7"/>
        <v>138.57142857142858</v>
      </c>
      <c r="L66">
        <f t="shared" si="8"/>
        <v>138.57142857142858</v>
      </c>
      <c r="M66" s="1">
        <f>L66*G66</f>
        <v>19.400000000000002</v>
      </c>
      <c r="P66" t="s">
        <v>67</v>
      </c>
    </row>
    <row r="67" spans="1:16" x14ac:dyDescent="0.3">
      <c r="A67" t="s">
        <v>68</v>
      </c>
      <c r="B67" s="4" t="s">
        <v>69</v>
      </c>
      <c r="C67">
        <v>166</v>
      </c>
      <c r="D67">
        <v>17</v>
      </c>
      <c r="E67">
        <v>63</v>
      </c>
      <c r="F67">
        <v>64</v>
      </c>
      <c r="G67">
        <v>5.1999999999999998E-2</v>
      </c>
      <c r="H67">
        <f t="shared" si="5"/>
        <v>1</v>
      </c>
      <c r="I67">
        <f>(F67-E67)/G67</f>
        <v>19.23076923076923</v>
      </c>
      <c r="J67">
        <v>160</v>
      </c>
      <c r="K67">
        <f t="shared" si="7"/>
        <v>140.76923076923077</v>
      </c>
      <c r="L67">
        <f t="shared" si="8"/>
        <v>140.76923076923077</v>
      </c>
      <c r="M67" s="1">
        <f>L67*G67</f>
        <v>7.32</v>
      </c>
      <c r="P67" t="s">
        <v>67</v>
      </c>
    </row>
    <row r="68" spans="1:16" x14ac:dyDescent="0.3">
      <c r="A68" t="s">
        <v>70</v>
      </c>
      <c r="B68" s="4" t="s">
        <v>71</v>
      </c>
      <c r="C68">
        <v>168</v>
      </c>
      <c r="D68">
        <v>17</v>
      </c>
      <c r="E68">
        <v>78</v>
      </c>
      <c r="F68">
        <v>79</v>
      </c>
      <c r="G68">
        <v>5.1999999999999998E-2</v>
      </c>
      <c r="H68">
        <f t="shared" si="5"/>
        <v>1</v>
      </c>
      <c r="I68">
        <f>(F68-E68)/G68</f>
        <v>19.23076923076923</v>
      </c>
      <c r="J68">
        <v>160</v>
      </c>
      <c r="K68">
        <f t="shared" si="7"/>
        <v>140.76923076923077</v>
      </c>
      <c r="L68">
        <f t="shared" si="8"/>
        <v>140.76923076923077</v>
      </c>
      <c r="M68" s="1">
        <f>L68*G68</f>
        <v>7.32</v>
      </c>
      <c r="P68" t="s">
        <v>67</v>
      </c>
    </row>
    <row r="69" spans="1:16" x14ac:dyDescent="0.3">
      <c r="A69" t="s">
        <v>72</v>
      </c>
      <c r="B69" s="4" t="s">
        <v>73</v>
      </c>
      <c r="C69">
        <v>170</v>
      </c>
      <c r="D69">
        <v>17</v>
      </c>
      <c r="E69">
        <v>58</v>
      </c>
      <c r="F69">
        <v>59</v>
      </c>
      <c r="G69">
        <v>5.1999999999999998E-2</v>
      </c>
      <c r="H69">
        <f t="shared" si="5"/>
        <v>1</v>
      </c>
      <c r="I69">
        <f>(F69-E69)/G69</f>
        <v>19.23076923076923</v>
      </c>
      <c r="J69">
        <v>160</v>
      </c>
      <c r="K69">
        <f t="shared" si="7"/>
        <v>140.76923076923077</v>
      </c>
      <c r="L69">
        <f t="shared" si="8"/>
        <v>140.76923076923077</v>
      </c>
      <c r="M69" s="1">
        <f>L69*G69</f>
        <v>7.32</v>
      </c>
      <c r="P69" t="s">
        <v>67</v>
      </c>
    </row>
    <row r="71" spans="1:16" x14ac:dyDescent="0.3">
      <c r="A71" t="s">
        <v>29</v>
      </c>
      <c r="B71" t="s">
        <v>29</v>
      </c>
      <c r="D71" t="s">
        <v>3</v>
      </c>
      <c r="E71" t="s">
        <v>102</v>
      </c>
      <c r="F71" t="s">
        <v>101</v>
      </c>
      <c r="G71" t="s">
        <v>103</v>
      </c>
      <c r="I71" t="s">
        <v>106</v>
      </c>
      <c r="J71" t="s">
        <v>107</v>
      </c>
      <c r="K71" t="s">
        <v>108</v>
      </c>
      <c r="L71" t="s">
        <v>109</v>
      </c>
      <c r="M71" s="1" t="s">
        <v>110</v>
      </c>
    </row>
    <row r="72" spans="1:16" x14ac:dyDescent="0.3">
      <c r="A72" t="s">
        <v>74</v>
      </c>
      <c r="B72" t="s">
        <v>75</v>
      </c>
      <c r="C72">
        <v>177</v>
      </c>
      <c r="D72">
        <v>18</v>
      </c>
      <c r="E72">
        <v>44</v>
      </c>
      <c r="F72">
        <v>44</v>
      </c>
      <c r="G72">
        <v>0.17</v>
      </c>
      <c r="H72">
        <f t="shared" si="5"/>
        <v>0</v>
      </c>
      <c r="I72">
        <f t="shared" ref="I72:I81" si="14">(F72-E72)/G72</f>
        <v>0</v>
      </c>
      <c r="J72">
        <v>19.126999999999999</v>
      </c>
      <c r="K72">
        <f t="shared" si="7"/>
        <v>19.126999999999999</v>
      </c>
      <c r="L72">
        <f t="shared" si="8"/>
        <v>19.126999999999999</v>
      </c>
      <c r="M72" s="1">
        <f t="shared" ref="M72:M81" si="15">L72*G72</f>
        <v>3.2515900000000002</v>
      </c>
      <c r="P72" t="s">
        <v>32</v>
      </c>
    </row>
    <row r="73" spans="1:16" x14ac:dyDescent="0.3">
      <c r="A73" t="s">
        <v>76</v>
      </c>
      <c r="B73" t="s">
        <v>77</v>
      </c>
      <c r="C73">
        <v>178</v>
      </c>
      <c r="D73">
        <v>18</v>
      </c>
      <c r="E73">
        <v>44</v>
      </c>
      <c r="F73">
        <v>45</v>
      </c>
      <c r="G73">
        <v>0.20799999999999999</v>
      </c>
      <c r="H73">
        <f t="shared" si="5"/>
        <v>1</v>
      </c>
      <c r="I73">
        <f t="shared" si="14"/>
        <v>4.8076923076923075</v>
      </c>
      <c r="J73">
        <v>19.126999999999999</v>
      </c>
      <c r="K73">
        <f t="shared" si="7"/>
        <v>14.319307692307692</v>
      </c>
      <c r="L73">
        <f t="shared" si="8"/>
        <v>14.319307692307692</v>
      </c>
      <c r="M73" s="1">
        <f t="shared" si="15"/>
        <v>2.9784159999999997</v>
      </c>
      <c r="P73" t="s">
        <v>32</v>
      </c>
    </row>
    <row r="74" spans="1:16" x14ac:dyDescent="0.3">
      <c r="A74" t="s">
        <v>78</v>
      </c>
      <c r="B74" t="s">
        <v>79</v>
      </c>
      <c r="C74">
        <v>182</v>
      </c>
      <c r="D74">
        <v>18</v>
      </c>
      <c r="E74">
        <v>193</v>
      </c>
      <c r="F74">
        <v>193</v>
      </c>
      <c r="G74">
        <v>1.667</v>
      </c>
      <c r="H74">
        <f t="shared" si="5"/>
        <v>0</v>
      </c>
      <c r="I74">
        <f t="shared" si="14"/>
        <v>0</v>
      </c>
      <c r="J74">
        <v>19.126999999999999</v>
      </c>
      <c r="K74">
        <f t="shared" si="7"/>
        <v>19.126999999999999</v>
      </c>
      <c r="L74">
        <f t="shared" si="8"/>
        <v>19.126999999999999</v>
      </c>
      <c r="M74" s="1">
        <f t="shared" si="15"/>
        <v>31.884708999999997</v>
      </c>
      <c r="P74" s="2" t="s">
        <v>32</v>
      </c>
    </row>
    <row r="75" spans="1:16" x14ac:dyDescent="0.3">
      <c r="A75" t="s">
        <v>80</v>
      </c>
      <c r="B75" t="s">
        <v>81</v>
      </c>
      <c r="C75">
        <v>183</v>
      </c>
      <c r="D75">
        <v>18</v>
      </c>
      <c r="E75">
        <v>78</v>
      </c>
      <c r="F75">
        <v>79</v>
      </c>
      <c r="G75">
        <v>1.7290000000000001</v>
      </c>
      <c r="H75">
        <f t="shared" si="5"/>
        <v>1</v>
      </c>
      <c r="I75">
        <f t="shared" si="14"/>
        <v>0.578368999421631</v>
      </c>
      <c r="J75">
        <v>19.126999999999999</v>
      </c>
      <c r="K75">
        <f t="shared" si="7"/>
        <v>18.548631000578368</v>
      </c>
      <c r="L75">
        <f t="shared" si="8"/>
        <v>18.548631000578368</v>
      </c>
      <c r="M75" s="1">
        <f t="shared" si="15"/>
        <v>32.070582999999999</v>
      </c>
      <c r="P75" t="s">
        <v>32</v>
      </c>
    </row>
    <row r="76" spans="1:16" x14ac:dyDescent="0.3">
      <c r="A76" t="s">
        <v>82</v>
      </c>
      <c r="B76" t="s">
        <v>83</v>
      </c>
      <c r="C76">
        <v>184</v>
      </c>
      <c r="D76">
        <v>18</v>
      </c>
      <c r="E76">
        <v>89</v>
      </c>
      <c r="F76">
        <v>90</v>
      </c>
      <c r="G76">
        <v>1.7290000000000001</v>
      </c>
      <c r="H76">
        <f t="shared" si="5"/>
        <v>1</v>
      </c>
      <c r="I76">
        <f t="shared" si="14"/>
        <v>0.578368999421631</v>
      </c>
      <c r="J76">
        <v>19.126999999999999</v>
      </c>
      <c r="K76">
        <f t="shared" si="7"/>
        <v>18.548631000578368</v>
      </c>
      <c r="L76">
        <f t="shared" si="8"/>
        <v>18.548631000578368</v>
      </c>
      <c r="M76" s="1">
        <f t="shared" si="15"/>
        <v>32.070582999999999</v>
      </c>
      <c r="P76" t="s">
        <v>32</v>
      </c>
    </row>
    <row r="77" spans="1:16" x14ac:dyDescent="0.3">
      <c r="A77" t="s">
        <v>84</v>
      </c>
      <c r="B77" t="s">
        <v>85</v>
      </c>
      <c r="C77">
        <v>188</v>
      </c>
      <c r="D77">
        <v>18</v>
      </c>
      <c r="E77">
        <v>201</v>
      </c>
      <c r="F77">
        <v>201</v>
      </c>
      <c r="G77">
        <v>1.1759999999999999</v>
      </c>
      <c r="H77">
        <f t="shared" si="5"/>
        <v>0</v>
      </c>
      <c r="I77">
        <f t="shared" si="14"/>
        <v>0</v>
      </c>
      <c r="J77">
        <v>19.126999999999999</v>
      </c>
      <c r="K77">
        <f t="shared" si="7"/>
        <v>19.126999999999999</v>
      </c>
      <c r="L77">
        <f t="shared" si="8"/>
        <v>19.126999999999999</v>
      </c>
      <c r="M77" s="1">
        <f t="shared" si="15"/>
        <v>22.493351999999998</v>
      </c>
      <c r="P77" t="s">
        <v>32</v>
      </c>
    </row>
    <row r="78" spans="1:16" x14ac:dyDescent="0.3">
      <c r="A78" t="s">
        <v>86</v>
      </c>
      <c r="B78" t="s">
        <v>87</v>
      </c>
      <c r="C78">
        <v>189</v>
      </c>
      <c r="D78">
        <v>18</v>
      </c>
      <c r="E78">
        <v>88</v>
      </c>
      <c r="F78">
        <v>88</v>
      </c>
      <c r="G78">
        <v>1.236</v>
      </c>
      <c r="H78">
        <f t="shared" si="5"/>
        <v>0</v>
      </c>
      <c r="I78">
        <f t="shared" si="14"/>
        <v>0</v>
      </c>
      <c r="J78">
        <v>19.126999999999999</v>
      </c>
      <c r="K78">
        <f t="shared" si="7"/>
        <v>19.126999999999999</v>
      </c>
      <c r="L78">
        <f t="shared" si="8"/>
        <v>19.126999999999999</v>
      </c>
      <c r="M78" s="1">
        <f t="shared" si="15"/>
        <v>23.640971999999998</v>
      </c>
      <c r="P78" t="s">
        <v>32</v>
      </c>
    </row>
    <row r="79" spans="1:16" x14ac:dyDescent="0.3">
      <c r="A79" t="s">
        <v>88</v>
      </c>
      <c r="B79" t="s">
        <v>89</v>
      </c>
      <c r="C79">
        <v>190</v>
      </c>
      <c r="D79">
        <v>18</v>
      </c>
      <c r="E79">
        <v>99</v>
      </c>
      <c r="F79">
        <v>99</v>
      </c>
      <c r="G79">
        <v>1.236</v>
      </c>
      <c r="H79">
        <f t="shared" ref="H79:H86" si="16">F79-E79</f>
        <v>0</v>
      </c>
      <c r="I79">
        <f t="shared" si="14"/>
        <v>0</v>
      </c>
      <c r="J79">
        <v>19.126999999999999</v>
      </c>
      <c r="K79">
        <f t="shared" ref="K79:K86" si="17">J79-I79</f>
        <v>19.126999999999999</v>
      </c>
      <c r="L79">
        <f t="shared" ref="L79:L86" si="18">IF(K79&gt;0,K79,0)</f>
        <v>19.126999999999999</v>
      </c>
      <c r="M79" s="1">
        <f t="shared" si="15"/>
        <v>23.640971999999998</v>
      </c>
      <c r="P79" t="s">
        <v>32</v>
      </c>
    </row>
    <row r="80" spans="1:16" x14ac:dyDescent="0.3">
      <c r="A80" t="s">
        <v>90</v>
      </c>
      <c r="B80" t="s">
        <v>91</v>
      </c>
      <c r="C80">
        <v>192</v>
      </c>
      <c r="D80">
        <v>18</v>
      </c>
      <c r="E80">
        <v>755</v>
      </c>
      <c r="F80">
        <v>755</v>
      </c>
      <c r="G80">
        <v>0.54200000000000004</v>
      </c>
      <c r="H80">
        <f t="shared" si="16"/>
        <v>0</v>
      </c>
      <c r="I80">
        <f t="shared" si="14"/>
        <v>0</v>
      </c>
      <c r="J80">
        <v>19.126999999999999</v>
      </c>
      <c r="K80">
        <f t="shared" si="17"/>
        <v>19.126999999999999</v>
      </c>
      <c r="L80">
        <f t="shared" si="18"/>
        <v>19.126999999999999</v>
      </c>
      <c r="M80" s="1">
        <f t="shared" si="15"/>
        <v>10.366834000000001</v>
      </c>
      <c r="P80" t="s">
        <v>32</v>
      </c>
    </row>
    <row r="81" spans="1:16" x14ac:dyDescent="0.3">
      <c r="A81" t="s">
        <v>92</v>
      </c>
      <c r="B81" t="s">
        <v>93</v>
      </c>
      <c r="C81">
        <v>194</v>
      </c>
      <c r="D81">
        <v>18</v>
      </c>
      <c r="E81">
        <v>755</v>
      </c>
      <c r="F81">
        <v>755</v>
      </c>
      <c r="G81">
        <v>0.34599999999999997</v>
      </c>
      <c r="H81">
        <f t="shared" si="16"/>
        <v>0</v>
      </c>
      <c r="I81">
        <f t="shared" si="14"/>
        <v>0</v>
      </c>
      <c r="J81">
        <v>19.126999999999999</v>
      </c>
      <c r="K81">
        <f t="shared" si="17"/>
        <v>19.126999999999999</v>
      </c>
      <c r="L81">
        <f t="shared" si="18"/>
        <v>19.126999999999999</v>
      </c>
      <c r="M81" s="1">
        <f t="shared" si="15"/>
        <v>6.6179419999999993</v>
      </c>
      <c r="P81" t="s">
        <v>32</v>
      </c>
    </row>
    <row r="83" spans="1:16" x14ac:dyDescent="0.3">
      <c r="A83" t="s">
        <v>29</v>
      </c>
      <c r="B83" t="s">
        <v>29</v>
      </c>
      <c r="D83" t="s">
        <v>3</v>
      </c>
      <c r="E83" t="s">
        <v>102</v>
      </c>
      <c r="F83" t="s">
        <v>101</v>
      </c>
      <c r="G83" t="s">
        <v>103</v>
      </c>
      <c r="I83" t="s">
        <v>106</v>
      </c>
      <c r="J83" t="s">
        <v>107</v>
      </c>
      <c r="K83" t="s">
        <v>108</v>
      </c>
      <c r="L83" t="s">
        <v>109</v>
      </c>
      <c r="M83" s="1" t="s">
        <v>110</v>
      </c>
    </row>
    <row r="84" spans="1:16" x14ac:dyDescent="0.3">
      <c r="A84" t="s">
        <v>94</v>
      </c>
      <c r="B84" t="s">
        <v>95</v>
      </c>
      <c r="C84">
        <v>200</v>
      </c>
      <c r="D84">
        <v>20</v>
      </c>
      <c r="E84">
        <v>33</v>
      </c>
      <c r="F84">
        <v>64</v>
      </c>
      <c r="G84">
        <v>1.369</v>
      </c>
      <c r="H84">
        <f t="shared" si="16"/>
        <v>31</v>
      </c>
      <c r="I84">
        <f>(F84-E84)/G84</f>
        <v>22.644265887509132</v>
      </c>
      <c r="J84">
        <v>11.7</v>
      </c>
      <c r="K84">
        <f t="shared" si="17"/>
        <v>-10.944265887509133</v>
      </c>
      <c r="L84">
        <f t="shared" si="18"/>
        <v>0</v>
      </c>
      <c r="M84" s="1">
        <f>L84*G84</f>
        <v>0</v>
      </c>
      <c r="P84" t="s">
        <v>96</v>
      </c>
    </row>
    <row r="85" spans="1:16" x14ac:dyDescent="0.3">
      <c r="A85" t="s">
        <v>97</v>
      </c>
      <c r="B85" t="s">
        <v>98</v>
      </c>
      <c r="C85">
        <v>202</v>
      </c>
      <c r="D85">
        <v>20</v>
      </c>
      <c r="E85">
        <v>32</v>
      </c>
      <c r="F85">
        <v>62</v>
      </c>
      <c r="G85">
        <v>1.333</v>
      </c>
      <c r="H85">
        <f t="shared" si="16"/>
        <v>30</v>
      </c>
      <c r="I85">
        <f>(F85-E85)/G85</f>
        <v>22.50562640660165</v>
      </c>
      <c r="J85">
        <v>11.7</v>
      </c>
      <c r="K85">
        <f t="shared" si="17"/>
        <v>-10.80562640660165</v>
      </c>
      <c r="L85">
        <f t="shared" si="18"/>
        <v>0</v>
      </c>
      <c r="M85" s="1">
        <f>L85*G85</f>
        <v>0</v>
      </c>
      <c r="P85" s="2" t="s">
        <v>96</v>
      </c>
    </row>
    <row r="86" spans="1:16" x14ac:dyDescent="0.3">
      <c r="A86" t="s">
        <v>99</v>
      </c>
      <c r="B86" t="s">
        <v>100</v>
      </c>
      <c r="C86">
        <v>204</v>
      </c>
      <c r="D86">
        <v>20</v>
      </c>
      <c r="E86">
        <v>32</v>
      </c>
      <c r="F86">
        <v>46</v>
      </c>
      <c r="G86">
        <v>0.58599999999999997</v>
      </c>
      <c r="H86">
        <f t="shared" si="16"/>
        <v>14</v>
      </c>
      <c r="I86">
        <f>(F86-E86)/G86</f>
        <v>23.890784982935156</v>
      </c>
      <c r="J86">
        <v>11.7</v>
      </c>
      <c r="K86">
        <f t="shared" si="17"/>
        <v>-12.190784982935156</v>
      </c>
      <c r="L86">
        <f t="shared" si="18"/>
        <v>0</v>
      </c>
      <c r="M86" s="1">
        <f>L86*G86</f>
        <v>0</v>
      </c>
      <c r="P86" t="s">
        <v>96</v>
      </c>
    </row>
  </sheetData>
  <hyperlinks>
    <hyperlink ref="P29" r:id="rId1" location="sec2" xr:uid="{1C72D987-40E2-486D-9A99-7C4CE8ABB113}"/>
    <hyperlink ref="P32" r:id="rId2" location="sec2" xr:uid="{32F627C8-A2BA-432B-95EE-0E9F042AB5ED}"/>
    <hyperlink ref="P85" r:id="rId3" display="https://sandbag.be/2024/07/15/steel_and_ccsu/" xr:uid="{1E1EFAE0-54F9-41FE-A759-E9F4BE92EF78}"/>
    <hyperlink ref="P74" r:id="rId4" location="sec2" xr:uid="{E5C11A38-589D-4CE9-8305-EB9EC133A40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46789E8E72D44CA1BA5EDD2F3AC984" ma:contentTypeVersion="15" ma:contentTypeDescription="Create a new document." ma:contentTypeScope="" ma:versionID="40d5f4f86bf7ef2520740a8acbc9ed09">
  <xsd:schema xmlns:xsd="http://www.w3.org/2001/XMLSchema" xmlns:xs="http://www.w3.org/2001/XMLSchema" xmlns:p="http://schemas.microsoft.com/office/2006/metadata/properties" xmlns:ns2="1ce20967-da9b-4958-aeab-a7f51a0966d6" xmlns:ns3="8db6cf36-d783-4ed8-936d-d195b957231e" targetNamespace="http://schemas.microsoft.com/office/2006/metadata/properties" ma:root="true" ma:fieldsID="8a9191135e6fbee3e73f8c8abd397812" ns2:_="" ns3:_="">
    <xsd:import namespace="1ce20967-da9b-4958-aeab-a7f51a0966d6"/>
    <xsd:import namespace="8db6cf36-d783-4ed8-936d-d195b957231e"/>
    <xsd:element name="properties">
      <xsd:complexType>
        <xsd:sequence>
          <xsd:element name="documentManagement">
            <xsd:complexType>
              <xsd:all>
                <xsd:element ref="ns2:VITODocumentType" minOccurs="0"/>
                <xsd:element ref="ns2:VITOTeam" minOccurs="0"/>
                <xsd:element ref="ns2:VITOOpportunity" minOccurs="0"/>
                <xsd:element ref="ns2:VITOProject" minOccurs="0"/>
                <xsd:element ref="ns2:VITOContactCompany" minOccurs="0"/>
                <xsd:element ref="ns2:VITOUnit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SearchProperties" minOccurs="0"/>
                <xsd:element ref="ns3:MediaServiceDateTaken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e20967-da9b-4958-aeab-a7f51a0966d6" elementFormDefault="qualified">
    <xsd:import namespace="http://schemas.microsoft.com/office/2006/documentManagement/types"/>
    <xsd:import namespace="http://schemas.microsoft.com/office/infopath/2007/PartnerControls"/>
    <xsd:element name="VITODocumentType" ma:index="8" nillable="true" ma:displayName="Document Type" ma:default="" ma:internalName="VITODocumentType">
      <xsd:simpleType>
        <xsd:union memberTypes="dms:Text">
          <xsd:simpleType>
            <xsd:restriction base="dms:Choice"/>
          </xsd:simpleType>
        </xsd:union>
      </xsd:simpleType>
    </xsd:element>
    <xsd:element name="VITOTeam" ma:index="9" nillable="true" ma:displayName="Team" ma:default="Contractadministratie" ma:internalName="VITOTeam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VITOOpportunity" ma:index="10" nillable="true" ma:displayName="Opportunity" ma:default="" ma:internalName="VITOOpportunity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VITOProject" ma:index="11" nillable="true" ma:displayName="Project" ma:default="" ma:internalName="VITOProject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VITOContactCompany" ma:index="12" nillable="true" ma:displayName="Contact Company" ma:default="" ma:internalName="VITOContactCompany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VITOUnit" ma:index="13" nillable="true" ma:displayName="Unit" ma:default="" ma:internalName="VITOUnit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TaxCatchAll" ma:index="19" nillable="true" ma:displayName="Taxonomy Catch All Column" ma:hidden="true" ma:list="{c1d8cc24-f406-4d3e-b98f-f046e0aaffc1}" ma:internalName="TaxCatchAll" ma:showField="CatchAllData" ma:web="1ce20967-da9b-4958-aeab-a7f51a0966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6cf36-d783-4ed8-936d-d195b95723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c20e29d-4d9b-411e-9260-307e9281c9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e20967-da9b-4958-aeab-a7f51a0966d6" xsi:nil="true"/>
    <VITOOpportunity xmlns="1ce20967-da9b-4958-aeab-a7f51a0966d6" xsi:nil="true"/>
    <VITOProject xmlns="1ce20967-da9b-4958-aeab-a7f51a0966d6" xsi:nil="true"/>
    <VITOContactCompany xmlns="1ce20967-da9b-4958-aeab-a7f51a0966d6" xsi:nil="true"/>
    <VITOTeam xmlns="1ce20967-da9b-4958-aeab-a7f51a0966d6">
      <Value>Contractadministratie</Value>
    </VITOTeam>
    <VITODocumentType xmlns="1ce20967-da9b-4958-aeab-a7f51a0966d6" xsi:nil="true"/>
    <lcf76f155ced4ddcb4097134ff3c332f xmlns="8db6cf36-d783-4ed8-936d-d195b957231e">
      <Terms xmlns="http://schemas.microsoft.com/office/infopath/2007/PartnerControls"/>
    </lcf76f155ced4ddcb4097134ff3c332f>
    <VITOUnit xmlns="1ce20967-da9b-4958-aeab-a7f51a0966d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A18C03-28FF-443A-A1C5-28C8FA6977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e20967-da9b-4958-aeab-a7f51a0966d6"/>
    <ds:schemaRef ds:uri="8db6cf36-d783-4ed8-936d-d195b95723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62F24F-817A-40C5-A405-E50B65357548}">
  <ds:schemaRefs>
    <ds:schemaRef ds:uri="http://schemas.microsoft.com/office/2006/metadata/properties"/>
    <ds:schemaRef ds:uri="http://schemas.microsoft.com/office/infopath/2007/PartnerControls"/>
    <ds:schemaRef ds:uri="1ce20967-da9b-4958-aeab-a7f51a0966d6"/>
    <ds:schemaRef ds:uri="8db6cf36-d783-4ed8-936d-d195b957231e"/>
  </ds:schemaRefs>
</ds:datastoreItem>
</file>

<file path=customXml/itemProps3.xml><?xml version="1.0" encoding="utf-8"?>
<ds:datastoreItem xmlns:ds="http://schemas.openxmlformats.org/officeDocument/2006/customXml" ds:itemID="{CBAA51B5-F6B5-415D-BA60-4A261BF11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Van de Put</dc:creator>
  <cp:lastModifiedBy>Hans Van de Put</cp:lastModifiedBy>
  <dcterms:created xsi:type="dcterms:W3CDTF">2025-10-14T12:34:20Z</dcterms:created>
  <dcterms:modified xsi:type="dcterms:W3CDTF">2026-02-26T10:49:46Z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0x0101004246789E8E72D44CA1BA5EDD2F3AC984</vt:lpwstr>
  </property>
  <property fmtid="{D5CDD505-2E9C-101B-9397-08002B2CF9AE}" pid="3" name="MediaServiceImageTags">
    <vt:lpwstr/>
  </property>
</Properties>
</file>