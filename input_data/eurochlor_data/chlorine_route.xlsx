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hans_vandeput_vito_be/Documents/Mopo/mopo_repo/input_data/eurochlor_data/"/>
    </mc:Choice>
  </mc:AlternateContent>
  <xr:revisionPtr revIDLastSave="83" documentId="8_{4A6F2791-3562-4ABE-B8C7-CD8FC7D9FE31}" xr6:coauthVersionLast="47" xr6:coauthVersionMax="47" xr10:uidLastSave="{A0DFDF99-1067-488A-A4CD-1D7F2FFD8A21}"/>
  <bookViews>
    <workbookView xWindow="-108" yWindow="-108" windowWidth="23256" windowHeight="12456" xr2:uid="{0983BF78-613A-458E-A529-A65479778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D3" i="1"/>
  <c r="I3" i="1"/>
  <c r="F3" i="1"/>
</calcChain>
</file>

<file path=xl/sharedStrings.xml><?xml version="1.0" encoding="utf-8"?>
<sst xmlns="http://schemas.openxmlformats.org/spreadsheetml/2006/main" count="19" uniqueCount="16">
  <si>
    <t>CAPEX</t>
  </si>
  <si>
    <t>OPEX</t>
  </si>
  <si>
    <t>electricity</t>
  </si>
  <si>
    <t xml:space="preserve"> natural_gas</t>
  </si>
  <si>
    <t>chlorine</t>
  </si>
  <si>
    <t>tCO2/t</t>
  </si>
  <si>
    <t>GJ/t</t>
  </si>
  <si>
    <t>source</t>
  </si>
  <si>
    <t>[€19/ta]</t>
  </si>
  <si>
    <t>[€19/ta-yr]</t>
  </si>
  <si>
    <t>hydrogen_by_product</t>
  </si>
  <si>
    <t>CO2 capture</t>
  </si>
  <si>
    <t>CO2 direct emissions</t>
  </si>
  <si>
    <t>lifetime</t>
  </si>
  <si>
    <t>yr</t>
  </si>
  <si>
    <t>CAPEX and OPEX from TIMES, reaction data from 'EPOC - Chemical sector decarbonization' (https://www.epocbelgium.be/sites/epoc/files/Chlorine_FactSheet_TaliehRajabloo.pdf)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</si>
</sst>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2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0" xfId="0" quotePrefix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EC45-37F8-4FEB-AF30-4673C79BE5DD}">
  <dimension ref="A1:J14"/>
  <sheetViews>
    <sheetView tabSelected="1" workbookViewId="0">
      <selection activeCell="E10" sqref="E10"/>
    </sheetView>
  </sheetViews>
  <sheetFormatPr defaultRowHeight="14.4" x14ac:dyDescent="0.3"/>
  <cols>
    <col min="1" max="1" width="29.109375" bestFit="1" customWidth="1"/>
    <col min="2" max="2" width="12.21875" customWidth="1"/>
    <col min="3" max="3" width="9.77734375" customWidth="1"/>
    <col min="4" max="4" width="18.21875" bestFit="1" customWidth="1"/>
    <col min="5" max="5" width="12" customWidth="1"/>
    <col min="6" max="6" width="9.44140625" bestFit="1" customWidth="1"/>
    <col min="7" max="7" width="11.88671875" bestFit="1" customWidth="1"/>
    <col min="8" max="8" width="11.88671875" customWidth="1"/>
    <col min="9" max="9" width="23.109375" customWidth="1"/>
    <col min="10" max="10" width="74.33203125" bestFit="1" customWidth="1"/>
    <col min="11" max="20" width="23.109375" customWidth="1"/>
  </cols>
  <sheetData>
    <row r="1" spans="1:10" x14ac:dyDescent="0.3">
      <c r="A1" s="1"/>
      <c r="B1" t="s">
        <v>0</v>
      </c>
      <c r="C1" t="s">
        <v>1</v>
      </c>
      <c r="D1" t="s">
        <v>12</v>
      </c>
      <c r="E1" t="s">
        <v>11</v>
      </c>
      <c r="F1" t="s">
        <v>2</v>
      </c>
      <c r="G1" t="s">
        <v>3</v>
      </c>
      <c r="H1" t="s">
        <v>13</v>
      </c>
      <c r="I1" s="3" t="s">
        <v>10</v>
      </c>
      <c r="J1" t="s">
        <v>7</v>
      </c>
    </row>
    <row r="2" spans="1:10" x14ac:dyDescent="0.3">
      <c r="B2" t="s">
        <v>8</v>
      </c>
      <c r="C2" t="s">
        <v>9</v>
      </c>
      <c r="D2" t="s">
        <v>5</v>
      </c>
      <c r="E2" t="s">
        <v>5</v>
      </c>
      <c r="F2" t="s">
        <v>6</v>
      </c>
      <c r="G2" t="s">
        <v>6</v>
      </c>
      <c r="H2" t="s">
        <v>14</v>
      </c>
      <c r="I2" t="s">
        <v>6</v>
      </c>
    </row>
    <row r="3" spans="1:10" x14ac:dyDescent="0.3">
      <c r="A3" t="s">
        <v>4</v>
      </c>
      <c r="B3" s="2">
        <v>73.380335455516644</v>
      </c>
      <c r="C3">
        <v>84</v>
      </c>
      <c r="D3" s="4">
        <f>180/850</f>
        <v>0.21176470588235294</v>
      </c>
      <c r="E3" s="4">
        <v>0</v>
      </c>
      <c r="F3" s="4">
        <f>6.1/850*1000</f>
        <v>7.1764705882352935</v>
      </c>
      <c r="G3" s="4">
        <f>2.8/850*1000/0.9</f>
        <v>3.6601307189542482</v>
      </c>
      <c r="H3" s="4">
        <v>30</v>
      </c>
      <c r="I3" s="4">
        <f>24/850*1000*0.12</f>
        <v>3.3882352941176475</v>
      </c>
      <c r="J3" t="s">
        <v>15</v>
      </c>
    </row>
    <row r="4" spans="1:10" x14ac:dyDescent="0.3">
      <c r="J4" s="6"/>
    </row>
    <row r="14" spans="1:10" x14ac:dyDescent="0.3">
      <c r="I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Correa Laguna</dc:creator>
  <cp:lastModifiedBy>Hans Van de Put</cp:lastModifiedBy>
  <dcterms:created xsi:type="dcterms:W3CDTF">2025-07-01T08:10:04Z</dcterms:created>
  <dcterms:modified xsi:type="dcterms:W3CDTF">2026-02-06T15:06:07Z</dcterms:modified>
</cp:coreProperties>
</file>