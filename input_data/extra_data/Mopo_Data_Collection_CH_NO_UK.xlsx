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https://vitoresearch.sharepoint.com/sites/2210455-heu---sbr-mopo/Shared Documents/General/03 Work documents/WP2 Components/Gap closing/extra_data_CH_NO_UK/"/>
    </mc:Choice>
  </mc:AlternateContent>
  <xr:revisionPtr revIDLastSave="0" documentId="8_{109CA33A-8320-4959-9971-0125FDDE12B9}" xr6:coauthVersionLast="47" xr6:coauthVersionMax="47" xr10:uidLastSave="{00000000-0000-0000-0000-000000000000}"/>
  <bookViews>
    <workbookView xWindow="-120" yWindow="-16320" windowWidth="29040" windowHeight="15720" firstSheet="4" xr2:uid="{03389423-7521-48F9-AC41-5D13B8A33616}"/>
  </bookViews>
  <sheets>
    <sheet name="extra_data_CH_NO_UK" sheetId="2" r:id="rId1"/>
    <sheet name="extra_data_sources" sheetId="3" r:id="rId2"/>
    <sheet name="extra_data_choice" sheetId="8" r:id="rId3"/>
    <sheet name="conversion factors" sheetId="9" r:id="rId4"/>
    <sheet name="compare" sheetId="10" r:id="rId5"/>
  </sheets>
  <definedNames>
    <definedName name="_xlnm._FilterDatabase" localSheetId="0" hidden="1">extra_data_CH_NO_UK!$A$1:$K$170</definedName>
  </definedNames>
  <calcPr calcId="191028"/>
  <pivotCaches>
    <pivotCache cacheId="2336"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1" i="2" l="1"/>
  <c r="H80" i="2"/>
  <c r="H79" i="2"/>
  <c r="H70" i="2"/>
  <c r="H69" i="2"/>
  <c r="H68" i="2"/>
  <c r="H53" i="2"/>
  <c r="H52" i="2"/>
  <c r="H51" i="2"/>
  <c r="H40" i="2"/>
  <c r="H39" i="2"/>
  <c r="H38" i="2"/>
  <c r="H36" i="2"/>
  <c r="H35" i="2"/>
  <c r="H34" i="2"/>
  <c r="H33" i="2"/>
  <c r="H32" i="2"/>
  <c r="N8" i="10"/>
  <c r="P8" i="10"/>
  <c r="R8" i="10"/>
  <c r="N10" i="10"/>
  <c r="P10" i="10"/>
  <c r="R10" i="10"/>
  <c r="N11" i="10"/>
  <c r="P11" i="10"/>
  <c r="R11" i="10"/>
  <c r="N15" i="10"/>
  <c r="P15" i="10"/>
  <c r="R15" i="10"/>
  <c r="N20" i="10"/>
  <c r="P20" i="10"/>
  <c r="R20" i="10"/>
  <c r="N27" i="10"/>
  <c r="P27" i="10"/>
  <c r="R27" i="10"/>
  <c r="N28" i="10"/>
  <c r="P28" i="10"/>
  <c r="R28" i="10"/>
  <c r="N46" i="10"/>
  <c r="P46" i="10"/>
  <c r="R46" i="10"/>
  <c r="N47" i="10"/>
  <c r="P47" i="10"/>
  <c r="R47" i="10"/>
  <c r="H74" i="2"/>
  <c r="H54" i="2"/>
  <c r="H47" i="2"/>
  <c r="H46" i="2"/>
  <c r="H45" i="2"/>
  <c r="H44" i="2"/>
  <c r="H17" i="2"/>
  <c r="H16" i="2"/>
  <c r="H15" i="2"/>
  <c r="H82" i="2"/>
  <c r="H83" i="2"/>
  <c r="H88"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48" i="2"/>
  <c r="H49" i="2"/>
  <c r="H50" i="2"/>
  <c r="H55" i="2"/>
  <c r="H56" i="2"/>
  <c r="H57" i="2"/>
  <c r="H58" i="2"/>
  <c r="H59" i="2"/>
  <c r="H60" i="2"/>
  <c r="H61" i="2"/>
  <c r="H62" i="2"/>
  <c r="H63" i="2"/>
  <c r="H64" i="2"/>
  <c r="H65" i="2"/>
  <c r="H66" i="2"/>
  <c r="H67" i="2"/>
  <c r="H18" i="2"/>
  <c r="H19" i="2"/>
  <c r="H20" i="2"/>
  <c r="H21" i="2"/>
  <c r="H22" i="2"/>
  <c r="H23" i="2"/>
  <c r="H24" i="2"/>
  <c r="H25" i="2"/>
  <c r="H26" i="2"/>
  <c r="H27" i="2"/>
  <c r="H28" i="2"/>
  <c r="H29" i="2"/>
  <c r="H30" i="2"/>
  <c r="H31" i="2"/>
  <c r="H3" i="2"/>
  <c r="H4" i="2"/>
  <c r="H5" i="2"/>
  <c r="H6" i="2"/>
  <c r="H7" i="2"/>
  <c r="H8" i="2"/>
  <c r="H9" i="2"/>
  <c r="H10" i="2"/>
  <c r="H11" i="2"/>
  <c r="H2" i="2"/>
  <c r="B17" i="9"/>
  <c r="H42" i="2" s="1"/>
  <c r="H12" i="2" l="1"/>
  <c r="H13" i="2"/>
  <c r="H14" i="2"/>
  <c r="H41" i="2"/>
  <c r="H43" i="2"/>
  <c r="H71" i="2"/>
  <c r="H72" i="2"/>
  <c r="H73" i="2"/>
  <c r="F68" i="2" l="1"/>
  <c r="F78" i="2" l="1"/>
  <c r="H78" i="2" s="1"/>
  <c r="F77" i="2"/>
  <c r="H77" i="2" s="1"/>
  <c r="F76" i="2"/>
  <c r="H76" i="2" s="1"/>
  <c r="F37" i="2"/>
  <c r="H37" i="2" s="1"/>
  <c r="F75" i="2"/>
  <c r="H75" i="2" s="1"/>
  <c r="F87" i="2"/>
  <c r="H87" i="2" s="1"/>
  <c r="F86" i="2"/>
  <c r="H86" i="2" s="1"/>
  <c r="F89" i="2" l="1"/>
  <c r="H89" i="2" s="1"/>
  <c r="F85" i="2"/>
  <c r="H85" i="2" s="1"/>
  <c r="F84" i="2"/>
  <c r="H8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tc={38CE1A80-5918-4DA7-A11B-2278C9781DDC}</author>
  </authors>
  <commentList>
    <comment ref="F75" authorId="0" shapeId="0" xr:uid="{38CE1A80-5918-4DA7-A11B-2278C9781DDC}">
      <text>
        <t>[Threaded comment]
Your version of Excel allows you to read this threaded comment; however, any edits to it will get removed if the file is opened in a newer version of Excel. Learn more: https://go.microsoft.com/fwlink/?linkid=870924
Comment:
    To be checked if not double counting!</t>
      </text>
    </comment>
  </commentList>
</comments>
</file>

<file path=xl/sharedStrings.xml><?xml version="1.0" encoding="utf-8"?>
<sst xmlns="http://schemas.openxmlformats.org/spreadsheetml/2006/main" count="1756" uniqueCount="312">
  <si>
    <t>country_code</t>
  </si>
  <si>
    <t>sector</t>
  </si>
  <si>
    <t>commodity</t>
  </si>
  <si>
    <t>indicator</t>
  </si>
  <si>
    <t>unit</t>
  </si>
  <si>
    <t>value</t>
  </si>
  <si>
    <t>conv</t>
  </si>
  <si>
    <t>value_conv</t>
  </si>
  <si>
    <t>year</t>
  </si>
  <si>
    <t>latest_year</t>
  </si>
  <si>
    <t>source1</t>
  </si>
  <si>
    <t>source2</t>
  </si>
  <si>
    <t>comments</t>
  </si>
  <si>
    <t>CH</t>
  </si>
  <si>
    <t>cement</t>
  </si>
  <si>
    <t>product flow</t>
  </si>
  <si>
    <t>kt_yr</t>
  </si>
  <si>
    <t>cemsuisse; 2025</t>
  </si>
  <si>
    <t>p. 9 'Zementlieferungen nach Sorten'</t>
  </si>
  <si>
    <t>latest</t>
  </si>
  <si>
    <t>fertiliser</t>
  </si>
  <si>
    <t>ammonia</t>
  </si>
  <si>
    <t>USGS Nitrogen; 2019</t>
  </si>
  <si>
    <t>See Table 12: AMMONIA: WORLD PRODUCTION, BY COUNTRY OR LOCALITY</t>
  </si>
  <si>
    <t>USGS Nitrogen; 2023</t>
  </si>
  <si>
    <t>urea</t>
  </si>
  <si>
    <t>capacity</t>
  </si>
  <si>
    <t>FAO; 2025</t>
  </si>
  <si>
    <t>Gentile; 2019</t>
  </si>
  <si>
    <t>Switzerland relies on fertilser import</t>
  </si>
  <si>
    <t>nitric acid</t>
  </si>
  <si>
    <t>steel</t>
  </si>
  <si>
    <t>steel-primary</t>
  </si>
  <si>
    <t>worldsteel; 2020</t>
  </si>
  <si>
    <t>All steel production in Switzerland is secondary. See Table 6: Crude Steel Production by Process (p. 3)</t>
  </si>
  <si>
    <t>steel-secondary</t>
  </si>
  <si>
    <t>See Table 1: Total Production of Crude Steel (p. 1)</t>
  </si>
  <si>
    <t>Swiss Steel Group; 2024</t>
  </si>
  <si>
    <t xml:space="preserve">See Five-year overview, p. 173
Worldsteel statistics report 1500 ktons -&gt; annual report presumably more accurate </t>
  </si>
  <si>
    <t>See Five-year overview, p. 173</t>
  </si>
  <si>
    <t>Swiss Steel Group; 2025</t>
  </si>
  <si>
    <t>See Five-year overview, p. 158</t>
  </si>
  <si>
    <t>glass</t>
  </si>
  <si>
    <t>glass-container</t>
  </si>
  <si>
    <t>BAFU; 2023</t>
  </si>
  <si>
    <t>Glas Alliance Europe; 2025</t>
  </si>
  <si>
    <t>Based on indicative domestic consumption of container glass and the trade balance of container glass with EU27</t>
  </si>
  <si>
    <t>glass-fibre</t>
  </si>
  <si>
    <t>ChatGPT</t>
  </si>
  <si>
    <t>No public data readily available.
Trade balance with EU27 shows CH is a net importer of fibre glass.
ChatGPT query 'how much fibre glass production in Switzerland' yields:
* domestic fibreglass production is small compared with major global producers (like Germany, Italy, USA, China), with most of the glass fibre materials used in Switzerland being imported
* The presence of two glass wool plants indicates some domestic production of insulation glass fibres, but the volumes are proprietary and not reported in public statistics.</t>
  </si>
  <si>
    <t>glass-flat</t>
  </si>
  <si>
    <t>No public data readily available.
Trade balance with EU27 shows CH is a net importer of flat glass.
ChatGPT query 'how much flat glass production in Switzerland' yields:
* Switzerland’s flat glass sector is small and mainly focused on processing and fabrication (cutting, insulating glass assembly, safety glass, etc.) rather than large-scale primary float glass production.
* The largest Swiss glass company, Glas Trösch, does produce basic float glass as part of its product range — but much of the primary production infrastructure and processing operations are located outside Switzerland</t>
  </si>
  <si>
    <t>chemical</t>
  </si>
  <si>
    <t>olefins</t>
  </si>
  <si>
    <t>Petrochemicals Europe; 2026</t>
  </si>
  <si>
    <t>ChatGPT query: 'How much olefins production in Switzerland'.
Answer: 'Switzerland does not host any large integrated petrochemical steam-cracker complexes like those in major chemical producing countries (e.g., Belgium, Germany, France, the Netherlands, United Kingdom). Those facilities typically produce light olefins (ethylene, propylene) at industrial scales of hundreds of thousands to millions of tonnes per year — but similar large crackers do not operate in Switzerland itself as far as standard industry sources and European capacity databases indicate.'</t>
  </si>
  <si>
    <t>chlorine</t>
  </si>
  <si>
    <t>Eurochlor; 2025</t>
  </si>
  <si>
    <t>refineries</t>
  </si>
  <si>
    <t>light liquid fuel</t>
  </si>
  <si>
    <t>Concawe; 2026</t>
  </si>
  <si>
    <t>1.56 to of crude oil is required to produce 1 ton of light liquid fuel</t>
  </si>
  <si>
    <t>NO</t>
  </si>
  <si>
    <t>Heidelberg Materials; 2025</t>
  </si>
  <si>
    <t>ChatGPT query: 'main cement producers in Norway'. Answer: 'Norcem (Heidelberg Materials Sement Norge) is the main and only cement manufacturer in Norway with domestic production. It operates two cement plants: Brevik Cement Plant in Porsgrunn (largest plant, ~1.2 Mt capacity). Kjøpsvik Cement Plant (northernmost cement plant in the world, ~0.5 Mt capacity)</t>
  </si>
  <si>
    <t>This website reports total production capacity in 2021</t>
  </si>
  <si>
    <t>Yara; 2025</t>
  </si>
  <si>
    <t>Porsgrunn and Glomfjord site</t>
  </si>
  <si>
    <t>No public data readily available.
ChatGPT query 'how much container glass production in Norway' yields:
* Norway’s container glass production is relatively small and niche compared with larger European producers in countries like Sweden, Germany or France.
* Much glass packaging used in Norway is imported, and local production (if any) is limited, with some manufacturers focusing on small-scale or specialized products rather than mass container production</t>
  </si>
  <si>
    <t>No public data readily available.
ChatGPT query 'how much fibre glass production in Norway' yields:
* One main fibre glass production facility (3B Fibreglass, Birkeland site)
* Estimated production volume 45-60 ktons)</t>
  </si>
  <si>
    <t>No public data readily available.
ChatGPT query 'how much flat glass production in Norway' yields:
* Pilkington Norge AS has a production facility in Elverum where flat glass is processed
* but it likely does not operate a large float glass melting line and therefore does not contribute very large raw glass production quantities domestically.</t>
  </si>
  <si>
    <t>This figure represents the Mongstad refinery's capacity rather than actual production in 2018.</t>
  </si>
  <si>
    <t>All steel production in Norway is secondary. See Table 6: Crude Steel Production by Process (p. 3)</t>
  </si>
  <si>
    <t>See Table 6: Crude Steel Production by Process (p. 3)</t>
  </si>
  <si>
    <t>worldsteel; 2025b</t>
  </si>
  <si>
    <t>All crude steel production is considered secondary (see year 2018)</t>
  </si>
  <si>
    <t>7Steel; 2025</t>
  </si>
  <si>
    <t>UK</t>
  </si>
  <si>
    <t>Mineral Products Association; 2025</t>
  </si>
  <si>
    <t>Figure 5.6 Total UK cementitious sales, Cement sales from domestic production. Value estimated from graph.</t>
  </si>
  <si>
    <t>BGS; 2025</t>
  </si>
  <si>
    <t>See Tab 30: Cement 2019 - 2023. Finished Cement</t>
  </si>
  <si>
    <t>Nyhus; 2024</t>
  </si>
  <si>
    <t>Source 2 indicates 2750 kt, but this value is considered outdated: see 2020 closure Sabic UK / Wilton reported under source 1</t>
  </si>
  <si>
    <t>CF Chemicals; 2025
Yara; 2025</t>
  </si>
  <si>
    <t>See Table 12: AMMONIA: WORLD PRODUCTION, BY COUNTRY OR LOCALITY
CF Chemicals UK ammonia production closed in 2023: https://www.argusmedia.com/en/news-and-insights/latest-market-news/2472640-uk-s-cf-proposes-billingham-ammonia-closure
Yara Hull site hibernated (Yara; 2025)</t>
  </si>
  <si>
    <t>CF Chemical; 2025</t>
  </si>
  <si>
    <t>CF Chemicals and Yara show no urea production</t>
  </si>
  <si>
    <t>See Table Average Annual Capacity, p. 5
Capacity value is sum of ammonia nitrates and 'other'(representing nitric acid from the Billingham facility)
Yara assets show no further nitric acid production in the UK</t>
  </si>
  <si>
    <t>UK &amp; British Glass; 2017</t>
  </si>
  <si>
    <t>WRAP; 2019</t>
  </si>
  <si>
    <t>See p. 8.
Source 2 reports 2296 kt of container glass production (Figure 2: UK Glass Container Production 2013 - 2017), p. 12. Here we adopt the indicative values of source 1 for consistency (3 Mt total; 60% container, 30% flat, 10% fibre and other specialized))</t>
  </si>
  <si>
    <t>See p. 8</t>
  </si>
  <si>
    <t>worldsteel; 2022</t>
  </si>
  <si>
    <t>See Crude steel production by process, 2021, p. 10</t>
  </si>
  <si>
    <t>worldsteel; 2025a</t>
  </si>
  <si>
    <t>UK STEEL; 2025</t>
  </si>
  <si>
    <t>See Crude steel production by process, 2024, p. 10</t>
  </si>
  <si>
    <t>non-ferrous metals</t>
  </si>
  <si>
    <t>aluminium-primary</t>
  </si>
  <si>
    <t>USGS Aluminium; 2022</t>
  </si>
  <si>
    <t>ERCST; 2021</t>
  </si>
  <si>
    <t>aluminium-secondary</t>
  </si>
  <si>
    <t>USGS Country reports</t>
  </si>
  <si>
    <t>See 2017–2018 Minerals Yearbook SWITZERLAND (pdf)</t>
  </si>
  <si>
    <t>See 2019 Minerals Yearbook NORWAY (pdf)</t>
  </si>
  <si>
    <t>See 2022 Tables-only release</t>
  </si>
  <si>
    <t>pypsa</t>
  </si>
  <si>
    <t>pypsa-EUR</t>
  </si>
  <si>
    <t>other chemicals</t>
  </si>
  <si>
    <t>kt_ethylene_eq_yr</t>
  </si>
  <si>
    <t>pharmaceuticals</t>
  </si>
  <si>
    <t>other non-metallic minerals</t>
  </si>
  <si>
    <t>ceramics and other NMM</t>
  </si>
  <si>
    <t>kt_bricks_eq_yr</t>
  </si>
  <si>
    <t>all glass</t>
  </si>
  <si>
    <t>pulp and paper</t>
  </si>
  <si>
    <t>pulp</t>
  </si>
  <si>
    <t>paper and paperboard</t>
  </si>
  <si>
    <t>printing and media reproduction</t>
  </si>
  <si>
    <t>kt_paper_eq_yr</t>
  </si>
  <si>
    <t>food, beverages and tobacco</t>
  </si>
  <si>
    <t>production_index_yr</t>
  </si>
  <si>
    <t>alumina</t>
  </si>
  <si>
    <t>other non-ferrous metals</t>
  </si>
  <si>
    <t>kt_lead_eq_yr</t>
  </si>
  <si>
    <t>other industry</t>
  </si>
  <si>
    <t>transport equipment</t>
  </si>
  <si>
    <t>machinery equipment</t>
  </si>
  <si>
    <t>textiles and leather</t>
  </si>
  <si>
    <t>wood and wood products</t>
  </si>
  <si>
    <t>other industrial sectors</t>
  </si>
  <si>
    <t>methanol</t>
  </si>
  <si>
    <t>source</t>
  </si>
  <si>
    <t>source_full</t>
  </si>
  <si>
    <t>source_link</t>
  </si>
  <si>
    <t>source_type</t>
  </si>
  <si>
    <t>reported_by</t>
  </si>
  <si>
    <t>geo_scope</t>
  </si>
  <si>
    <t>periodic_update</t>
  </si>
  <si>
    <t>remarks</t>
  </si>
  <si>
    <t xml:space="preserve">worldsteel; 2020
</t>
  </si>
  <si>
    <t>Worldsteel (2020). Steel Statistical Yearbook 2020 Concise version</t>
  </si>
  <si>
    <t>https://worldsteel.org/wp-content/uploads/Steel-Statistical-Yearbook-2020-concise-version.pdf</t>
  </si>
  <si>
    <t>CH/NO/UK</t>
  </si>
  <si>
    <t>reported</t>
  </si>
  <si>
    <t>sector association</t>
  </si>
  <si>
    <t>global</t>
  </si>
  <si>
    <t>no</t>
  </si>
  <si>
    <t>the detailed statistics of recent years are not readily available</t>
  </si>
  <si>
    <t>Swiss Steel Group (2024). Annual report 2023.</t>
  </si>
  <si>
    <t>https://swisssteel-group.com/content-media/documents/annual_report/Annual-Report-2023.pdf</t>
  </si>
  <si>
    <t>national</t>
  </si>
  <si>
    <t>annual</t>
  </si>
  <si>
    <t>Swiss Steel Group (2025). Annual report 2024.</t>
  </si>
  <si>
    <t>https://swisssteel-group.com/content-media/documents/annual_report/2024/Annual-Report-2024.pdf</t>
  </si>
  <si>
    <t xml:space="preserve">worldsteel; 2022
</t>
  </si>
  <si>
    <t>WorldSteel (2022). World steel in figures</t>
  </si>
  <si>
    <t>https://worldsteel.org/data/world-steel-in-figures/</t>
  </si>
  <si>
    <t>source is global, but out of CH/NO/UK only treats UK explicitly</t>
  </si>
  <si>
    <t xml:space="preserve">worldsteel; 2025a
</t>
  </si>
  <si>
    <t>WorldSteel (2025). World steel in figures</t>
  </si>
  <si>
    <t>UK STEEL (2025). Key Statistics Guide 2025</t>
  </si>
  <si>
    <t xml:space="preserve">https://www.uksteel.org/reports-and-publications </t>
  </si>
  <si>
    <t xml:space="preserve">worldsteel; 2025b
</t>
  </si>
  <si>
    <t>worldsteel (2025). World steel Annual steel data. Total production of crude steel. Accessed December 2025.</t>
  </si>
  <si>
    <t>https://worldsteel.org/data/annual-production-steel-data/</t>
  </si>
  <si>
    <t>only used for NO since other countries have better primary sources</t>
  </si>
  <si>
    <t>7Steel Nordic website. Accessed December 2025.</t>
  </si>
  <si>
    <t>https://7-steelnordic.com/facts-figures/</t>
  </si>
  <si>
    <t>web page</t>
  </si>
  <si>
    <t>company</t>
  </si>
  <si>
    <t>Secondary steel production at Mo i Rana site</t>
  </si>
  <si>
    <t>USGS Minerals Yearbook. Nitrogen Statistics and Information. XLS format, 2019</t>
  </si>
  <si>
    <t>https://www.usgs.gov/centers/national-minerals-information-center/nitrogen-statistics-and-information</t>
  </si>
  <si>
    <t>database</t>
  </si>
  <si>
    <t>USGS Minerals Yearbook. Nitrogen Statistics and Information. XLS format, 2023 tables-only release.</t>
  </si>
  <si>
    <t>Yara Production capacities per segment</t>
  </si>
  <si>
    <t>https://www.yara.com/investor-relations/reports-presentations/</t>
  </si>
  <si>
    <t>NO/UK</t>
  </si>
  <si>
    <t>CF Chemicals; 2025</t>
  </si>
  <si>
    <t>CF Chemical Annual report 2024</t>
  </si>
  <si>
    <t>https://www.cfindustries.com/reports</t>
  </si>
  <si>
    <t>CF Chemicals in the EU only operates in the UK</t>
  </si>
  <si>
    <t>FAO statistics: Fertilizers by Nutrient, Production Quantity. Accessed December 2025</t>
  </si>
  <si>
    <t xml:space="preserve">https://www.fao.org/faostat/en/#data/RFN
</t>
  </si>
  <si>
    <t>covers all nitrogen-based fertiliser without further specification</t>
  </si>
  <si>
    <t>Gentile (2019). Fertilizers and pesticides: Price differences between Switzerland and neighbouring countries</t>
  </si>
  <si>
    <t>https://www.seco.admin.ch/seco/en/home/Publikationen_Dienstleistungen/Publikationen_und_Formulare/Strukturwandel_Wachstum/Branchenanalysen/fertilizers-and-pesticides-price-differences-between-switzerland.html</t>
  </si>
  <si>
    <t>analysis report</t>
  </si>
  <si>
    <t>cemsuisse 2025. Jahresbericht cemsuisse</t>
  </si>
  <si>
    <t xml:space="preserve">https://www.cemsuisse.ch/jahresberichte/ </t>
  </si>
  <si>
    <t>Website Heidelberg Materials Sement Norge. Accessed December 2025.</t>
  </si>
  <si>
    <t>https://www.sement.heidelbergmaterials.no/en
https://www.sement.heidelbergmaterials.no/en/NorcemKjopsvik_en
https://www.sement.heidelbergmaterials.no/en/NorcemBrevik_eng</t>
  </si>
  <si>
    <t>website</t>
  </si>
  <si>
    <t>Minerals UK. United Kingdom Minerals Yearbook. British Geological Survey (BGS)</t>
  </si>
  <si>
    <t>https://www.bgs.ac.uk/mineralsuk/statistics/uk/</t>
  </si>
  <si>
    <t>Mineral Products Association (2025). Profile of the UK Mineral Products Industry 2025 Edition.</t>
  </si>
  <si>
    <t>https://www.mineralproducts.org/Publications.aspx</t>
  </si>
  <si>
    <t>?</t>
  </si>
  <si>
    <t>Glass Sector. Joint Industry - Government Industrial Decarbonisation and Energy Efficiency Roadmap Action Plan. October 2017. UK Department for Business, Energy &amp; Industrial Strategy &amp; British Glass</t>
  </si>
  <si>
    <t>https://assets.publishing.service.gov.uk/media/5a823d8640f0b6230269b966/glass-decarbonisation-action-plan.pdf</t>
  </si>
  <si>
    <t>Source is referenced by two more recent articles:
https://www.sciencedirect.com/science/article/pii/S2666792421000299#bib0018
https://link.springer.com/article/10.1007/s40940-022-00195-9</t>
  </si>
  <si>
    <t>WRAP (2019). GlassFlow 2025. Final report.</t>
  </si>
  <si>
    <t>https://www.wrap.ngo/resources/report/glass-flow-2025-glass-packaging-flow-data-report</t>
  </si>
  <si>
    <t>BAFU (2023). Verwertung von Getränkeverpackungen 2023. Schweizerische Eidgenossenschaft. Bundesamt für Umwelt BAFU</t>
  </si>
  <si>
    <t>https://www.bafu.admin.ch/dam/en/sd-web/BmHqmk5j6KBe/statistik_getraenkeverpackungen_2023.pdf</t>
  </si>
  <si>
    <t>statistics other</t>
  </si>
  <si>
    <t>Glas Alliance Europe (2025). STATISTICAL REPORT 2024-2025.</t>
  </si>
  <si>
    <t>https://www.wko.at/wien/industrie/glasindustrie/statistical-report-glass-alliance-europe.pdf</t>
  </si>
  <si>
    <t>EU</t>
  </si>
  <si>
    <t>bi-annual</t>
  </si>
  <si>
    <t>Source used only to estimate glass trade balance for Switzerland</t>
  </si>
  <si>
    <t>Petrochemicals Europe (2021). Cracker capacity.  Accessed February 2026</t>
  </si>
  <si>
    <t>https://www.petrochemistry.eu/about-petrochemistry/petrochemicals-facts-and-figures/cracker-capacity/</t>
  </si>
  <si>
    <t>chemicals</t>
  </si>
  <si>
    <t>Nyhus, et al. (2024). Green ethylene production in the UK by 2035: a techno-economic assessment. Energy Environ. Sci., 2024, 17, 1931. DOI: 10.1039/d3ee03064d</t>
  </si>
  <si>
    <t>https://pubs.rsc.org/en/content/articlepdf/2024/ee/d3ee03064d</t>
  </si>
  <si>
    <t>scientific paper</t>
  </si>
  <si>
    <t>Eurochlor (2025). chlor-alkali industry review 2024 / 2025</t>
  </si>
  <si>
    <t>https://www.chlorineindustryreview.com/</t>
  </si>
  <si>
    <t>Concawe (2026). Refineries and biorefineries map. Historical evolution. Accessed February 2026.</t>
  </si>
  <si>
    <t>https://www.concawe.eu/refineries-map/</t>
  </si>
  <si>
    <t>USGS Minerals Yearbook: Aluminium Statistics and Information. XLS format, 2022 tables-only release</t>
  </si>
  <si>
    <t>https://www.usgs.gov/centers/national-minerals-information-center/aluminum-statistics-and-information</t>
  </si>
  <si>
    <t>latest release is 2022</t>
  </si>
  <si>
    <t>Maratou, A. and A. Marcu (2021). The aluminium value chain and implications for CBAM design. European Roundtable on Climate Change and Sustainable Tourism (ERCST)</t>
  </si>
  <si>
    <t>https://ercst.org/wp-content/uploads/2021/08/The-aluminium-value-chain-and-implications-for-CBAM-design.pdf</t>
  </si>
  <si>
    <t>USGS Country Reports</t>
  </si>
  <si>
    <t>USGS Country reports.</t>
  </si>
  <si>
    <t>https://www.usgs.gov/centers/national-minerals-information-center/europe-and-central-eurasia</t>
  </si>
  <si>
    <t>latest release is 2022 (depending on country)</t>
  </si>
  <si>
    <t>PyPSA-Eur: A Sector-Coupled Open Optimisation Model of the European Energy System. v2025.07.0</t>
  </si>
  <si>
    <t>https://github.com/PyPSA/pypsa-eur</t>
  </si>
  <si>
    <t>all_sectors</t>
  </si>
  <si>
    <t>model</t>
  </si>
  <si>
    <t>Data available</t>
  </si>
  <si>
    <t>Data choice</t>
  </si>
  <si>
    <t>Sub-sectors</t>
  </si>
  <si>
    <t>mopo</t>
  </si>
  <si>
    <t>Pypsa-EUR</t>
  </si>
  <si>
    <t>Steel</t>
  </si>
  <si>
    <t>Primary production</t>
  </si>
  <si>
    <t>Y</t>
  </si>
  <si>
    <t>Secondary production</t>
  </si>
  <si>
    <t>Finishing and rolling</t>
  </si>
  <si>
    <t>n.a.</t>
  </si>
  <si>
    <t>Chemical</t>
  </si>
  <si>
    <t>Olefins</t>
  </si>
  <si>
    <t>Organic synthesis</t>
  </si>
  <si>
    <t>N</t>
  </si>
  <si>
    <t>Polymers</t>
  </si>
  <si>
    <t>Chlorine</t>
  </si>
  <si>
    <t>Other chemicals</t>
  </si>
  <si>
    <t>Pharmaceuticals</t>
  </si>
  <si>
    <t>Fertiliser</t>
  </si>
  <si>
    <t>Ammonia</t>
  </si>
  <si>
    <t>Nitric acid</t>
  </si>
  <si>
    <t>Urea</t>
  </si>
  <si>
    <t>Cement</t>
  </si>
  <si>
    <t>Glass</t>
  </si>
  <si>
    <t>Container</t>
  </si>
  <si>
    <t>Flat</t>
  </si>
  <si>
    <t>Fibre glass</t>
  </si>
  <si>
    <t>Refineries</t>
  </si>
  <si>
    <t>Light Liquid Fuels (LLF)</t>
  </si>
  <si>
    <t>Methanol</t>
  </si>
  <si>
    <t>Other non-metalic minerals</t>
  </si>
  <si>
    <t>Ceramics &amp; other NMM</t>
  </si>
  <si>
    <t>Non-ferrous metals</t>
  </si>
  <si>
    <t>Alumina</t>
  </si>
  <si>
    <t>Aluminium primary</t>
  </si>
  <si>
    <t>Aluminium secondary</t>
  </si>
  <si>
    <t>Other non-ferrous</t>
  </si>
  <si>
    <t>Paper and pulp</t>
  </si>
  <si>
    <t>Pulp</t>
  </si>
  <si>
    <t>Paper</t>
  </si>
  <si>
    <t>Printing and media reproduction</t>
  </si>
  <si>
    <t>Food Food, beverages and tobacco</t>
  </si>
  <si>
    <t>Food, beverages and tobacco</t>
  </si>
  <si>
    <t>Other industry</t>
  </si>
  <si>
    <t>Transport equipment</t>
  </si>
  <si>
    <t>Machinery equipment</t>
  </si>
  <si>
    <t xml:space="preserve"> Textiles and leather</t>
  </si>
  <si>
    <t xml:space="preserve"> Wood and wood products</t>
  </si>
  <si>
    <t xml:space="preserve"> Other industrial sectors</t>
  </si>
  <si>
    <t>Utilization rate by sector</t>
  </si>
  <si>
    <t>Explanation</t>
  </si>
  <si>
    <t>Capacity values are multiplied by a default utilization rate consistent with AIDRES data</t>
  </si>
  <si>
    <t>Factor</t>
  </si>
  <si>
    <t>Utilization rate</t>
  </si>
  <si>
    <t>Value default</t>
  </si>
  <si>
    <t>Value Olefins</t>
  </si>
  <si>
    <t>Value Chlorine</t>
  </si>
  <si>
    <t>Value Refineries - LLF</t>
  </si>
  <si>
    <t>LLF share of total refinery output</t>
  </si>
  <si>
    <t>The Concawe refinery map lists total refinery output. We assume a fixed share is allocated to Light Liquid Fuels</t>
  </si>
  <si>
    <t>Weight ratio of LLF in total refinery output</t>
  </si>
  <si>
    <t>Value</t>
  </si>
  <si>
    <t>Ammonia reported in Nitrogen content</t>
  </si>
  <si>
    <t>USGS report ammonia values in terms of Nitrogen content</t>
  </si>
  <si>
    <t>Ratio of NH3 to N content</t>
  </si>
  <si>
    <t>(All)</t>
  </si>
  <si>
    <t>Sum of value_conv</t>
  </si>
  <si>
    <t>Column Labels</t>
  </si>
  <si>
    <t>Ratio</t>
  </si>
  <si>
    <t>CH Total</t>
  </si>
  <si>
    <t>NO Total</t>
  </si>
  <si>
    <t>UK Total</t>
  </si>
  <si>
    <t>Grand Total</t>
  </si>
  <si>
    <t>Row Labels</t>
  </si>
  <si>
    <t>latest / pypsa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</si>
</sst>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
  </numFmts>
  <fonts count="10">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8"/>
      <color theme="1"/>
      <name val="Times New Roman"/>
      <family val="1"/>
    </font>
    <font>
      <sz val="8"/>
      <name val="Times"/>
    </font>
    <font>
      <sz val="8"/>
      <name val="Calibri"/>
      <family val="2"/>
      <scheme val="minor"/>
    </font>
    <font>
      <sz val="11"/>
      <color rgb="FFFF0000"/>
      <name val="Calibri"/>
      <family val="2"/>
      <scheme val="minor"/>
    </font>
    <font>
      <sz val="11"/>
      <color theme="1"/>
      <name val="Calibri"/>
      <family val="2"/>
      <scheme val="minor"/>
    </font>
    <font>
      <sz val="11"/>
      <color rgb="FF000000"/>
      <name val="Calibri"/>
      <family val="2"/>
    </font>
  </fonts>
  <fills count="3">
    <fill>
      <patternFill patternType="none"/>
    </fill>
    <fill>
      <patternFill patternType="gray125"/>
    </fill>
    <fill>
      <patternFill patternType="solid">
        <fgColor theme="5"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0" fontId="5" fillId="0" borderId="0"/>
    <xf numFmtId="9" fontId="8" fillId="0" borderId="0" applyFont="0" applyFill="0" applyBorder="0" applyAlignment="0" applyProtection="0"/>
  </cellStyleXfs>
  <cellXfs count="35">
    <xf numFmtId="0" fontId="0" fillId="0" borderId="0" xfId="0"/>
    <xf numFmtId="0" fontId="1" fillId="0" borderId="0" xfId="0" applyFont="1" applyAlignment="1">
      <alignment horizontal="center"/>
    </xf>
    <xf numFmtId="0" fontId="0" fillId="0" borderId="0" xfId="0" applyAlignment="1">
      <alignment wrapText="1"/>
    </xf>
    <xf numFmtId="0" fontId="2" fillId="0" borderId="0" xfId="1"/>
    <xf numFmtId="0" fontId="1" fillId="0" borderId="0" xfId="0" applyFont="1"/>
    <xf numFmtId="0" fontId="2" fillId="0" borderId="0" xfId="1"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0" fillId="0" borderId="1" xfId="0" applyBorder="1"/>
    <xf numFmtId="0" fontId="0" fillId="0" borderId="1" xfId="0" applyBorder="1" applyAlignment="1">
      <alignment horizontal="left" vertical="center"/>
    </xf>
    <xf numFmtId="0" fontId="0" fillId="0" borderId="0" xfId="0" applyAlignment="1">
      <alignment vertical="center"/>
    </xf>
    <xf numFmtId="0" fontId="0" fillId="0" borderId="5" xfId="0" applyBorder="1"/>
    <xf numFmtId="0" fontId="1" fillId="0" borderId="1" xfId="0" applyFont="1" applyBorder="1" applyAlignment="1">
      <alignment horizontal="center"/>
    </xf>
    <xf numFmtId="0" fontId="7" fillId="0" borderId="0" xfId="0" applyFont="1"/>
    <xf numFmtId="0" fontId="1" fillId="2" borderId="0" xfId="0" applyFont="1" applyFill="1"/>
    <xf numFmtId="9" fontId="0" fillId="0" borderId="0" xfId="4" applyFont="1"/>
    <xf numFmtId="9" fontId="7" fillId="0" borderId="0" xfId="4" applyFont="1"/>
    <xf numFmtId="0" fontId="2" fillId="0" borderId="0" xfId="1" applyFill="1"/>
    <xf numFmtId="0" fontId="1" fillId="0" borderId="1" xfId="0" applyFont="1" applyBorder="1" applyAlignment="1">
      <alignment horizont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9" fillId="0" borderId="0" xfId="0" applyFont="1" applyFill="1" applyBorder="1" applyAlignment="1"/>
    <xf numFmtId="0" fontId="0" fillId="0" borderId="0" xfId="0" applyFill="1"/>
    <xf numFmtId="1" fontId="0" fillId="0" borderId="0" xfId="0" applyNumberFormat="1" applyFill="1"/>
    <xf numFmtId="0" fontId="0" fillId="0" borderId="0" xfId="0" applyFill="1" applyAlignment="1">
      <alignment vertical="center"/>
    </xf>
    <xf numFmtId="165" fontId="0" fillId="0" borderId="0" xfId="0" applyNumberFormat="1" applyFill="1"/>
    <xf numFmtId="0" fontId="0" fillId="0" borderId="0" xfId="0" quotePrefix="1" applyFill="1"/>
    <xf numFmtId="3" fontId="0" fillId="0" borderId="0" xfId="0" applyNumberFormat="1" applyFill="1"/>
    <xf numFmtId="3" fontId="4" fillId="0" borderId="0" xfId="3" applyNumberFormat="1" applyFont="1" applyFill="1" applyAlignment="1">
      <alignment horizontal="right" vertical="center"/>
    </xf>
    <xf numFmtId="0" fontId="0" fillId="0" borderId="2" xfId="0" applyBorder="1" applyAlignment="1"/>
    <xf numFmtId="0" fontId="0" fillId="0" borderId="3" xfId="0" applyBorder="1" applyAlignment="1"/>
    <xf numFmtId="0" fontId="0" fillId="0" borderId="4" xfId="0" applyBorder="1" applyAlignment="1"/>
  </cellXfs>
  <cellStyles count="5">
    <cellStyle name="Comma 2" xfId="2" xr:uid="{D29DC2A2-437F-454E-8116-E7EAF9557F03}"/>
    <cellStyle name="Hyperlink" xfId="1" builtinId="8"/>
    <cellStyle name="Normal" xfId="0" builtinId="0"/>
    <cellStyle name="Normal 5" xfId="3" xr:uid="{A303AA02-C0C4-4B32-A394-E71D20516B6A}"/>
    <cellStyle name="Percent" xfId="4" builtinId="5"/>
  </cellStyles>
  <dxfs count="1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7C80"/>
      <color rgb="FFFAE6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Pieter Valkering" id="{39B5D5ED-2C37-47B0-A341-06CF4537BEEE}" userId="S::pieter.valkering@vito.be::06890f67-1be7-41f7-b4e1-f056f87b3f8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eter Valkering" refreshedDate="46066.390856018515" createdVersion="8" refreshedVersion="8" minRefreshableVersion="3" recordCount="169" xr:uid="{01093CC8-8517-4699-856F-C426E77B1781}">
  <cacheSource type="worksheet">
    <worksheetSource ref="A1:J170" sheet="extra_data_CH_NO_UK"/>
  </cacheSource>
  <cacheFields count="10">
    <cacheField name="country_code" numFmtId="0">
      <sharedItems count="3">
        <s v="CH"/>
        <s v="NO"/>
        <s v="UK"/>
      </sharedItems>
    </cacheField>
    <cacheField name="sector" numFmtId="0">
      <sharedItems count="11">
        <s v="cement"/>
        <s v="fertiliser"/>
        <s v="steel"/>
        <s v="glass"/>
        <s v="chemical"/>
        <s v="refineries"/>
        <s v="non-ferrous metals"/>
        <s v="other non-metallic minerals"/>
        <s v="pulp and paper"/>
        <s v="food, beverages and tobacco"/>
        <s v="other industry"/>
      </sharedItems>
    </cacheField>
    <cacheField name="commodity" numFmtId="0">
      <sharedItems count="30">
        <s v="cement"/>
        <s v="ammonia"/>
        <s v="urea"/>
        <s v="nitric acid"/>
        <s v="steel-primary"/>
        <s v="steel-secondary"/>
        <s v="glass-container"/>
        <s v="glass-fibre"/>
        <s v="glass-flat"/>
        <s v="olefins"/>
        <s v="chlorine"/>
        <s v="light liquid fuel"/>
        <s v="aluminium-primary"/>
        <s v="aluminium-secondary"/>
        <s v="other chemicals"/>
        <s v="pharmaceuticals"/>
        <s v="ceramics and other NMM"/>
        <s v="all glass"/>
        <s v="pulp"/>
        <s v="paper and paperboard"/>
        <s v="printing and media reproduction"/>
        <s v="food, beverages and tobacco"/>
        <s v="alumina"/>
        <s v="other non-ferrous metals"/>
        <s v="transport equipment"/>
        <s v="machinery equipment"/>
        <s v="textiles and leather"/>
        <s v="wood and wood products"/>
        <s v="other industrial sectors"/>
        <s v="methanol"/>
      </sharedItems>
    </cacheField>
    <cacheField name="indicator" numFmtId="0">
      <sharedItems/>
    </cacheField>
    <cacheField name="unit" numFmtId="0">
      <sharedItems/>
    </cacheField>
    <cacheField name="value" numFmtId="0">
      <sharedItems containsSemiMixedTypes="0" containsString="0" containsNumber="1" minValue="0" maxValue="170589.19"/>
    </cacheField>
    <cacheField name="conv" numFmtId="0">
      <sharedItems containsString="0" containsBlank="1" containsNumber="1" containsInteger="1" minValue="1" maxValue="1"/>
    </cacheField>
    <cacheField name="value_conv" numFmtId="1">
      <sharedItems containsSemiMixedTypes="0" containsString="0" containsNumber="1" minValue="0" maxValue="170589.19"/>
    </cacheField>
    <cacheField name="year" numFmtId="0">
      <sharedItems containsSemiMixedTypes="0" containsString="0" containsNumber="1" containsInteger="1" minValue="2015" maxValue="2026" count="12">
        <n v="2015"/>
        <n v="2016"/>
        <n v="2017"/>
        <n v="2018"/>
        <n v="2019"/>
        <n v="2020"/>
        <n v="2021"/>
        <n v="2022"/>
        <n v="2023"/>
        <n v="2024"/>
        <n v="2025"/>
        <n v="2026"/>
      </sharedItems>
    </cacheField>
    <cacheField name="latest_year" numFmtId="0">
      <sharedItems containsBlank="1" count="3">
        <m/>
        <s v="latest"/>
        <s v="pyps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
  <r>
    <x v="0"/>
    <x v="0"/>
    <x v="0"/>
    <s v="product flow"/>
    <s v="kt/y"/>
    <n v="4219"/>
    <m/>
    <n v="4219"/>
    <x v="0"/>
    <x v="0"/>
  </r>
  <r>
    <x v="0"/>
    <x v="0"/>
    <x v="0"/>
    <s v="product flow"/>
    <s v="kt/y"/>
    <n v="4397"/>
    <m/>
    <n v="4397"/>
    <x v="1"/>
    <x v="0"/>
  </r>
  <r>
    <x v="0"/>
    <x v="0"/>
    <x v="0"/>
    <s v="product flow"/>
    <s v="kt/y"/>
    <n v="4272"/>
    <m/>
    <n v="4272"/>
    <x v="2"/>
    <x v="0"/>
  </r>
  <r>
    <x v="0"/>
    <x v="0"/>
    <x v="0"/>
    <s v="product flow"/>
    <s v="kt/y"/>
    <n v="4289"/>
    <m/>
    <n v="4289"/>
    <x v="3"/>
    <x v="0"/>
  </r>
  <r>
    <x v="0"/>
    <x v="0"/>
    <x v="0"/>
    <s v="product flow"/>
    <s v="kt/y"/>
    <n v="4215"/>
    <m/>
    <n v="4215"/>
    <x v="4"/>
    <x v="0"/>
  </r>
  <r>
    <x v="0"/>
    <x v="0"/>
    <x v="0"/>
    <s v="product flow"/>
    <s v="kt/y"/>
    <n v="4177"/>
    <m/>
    <n v="4177"/>
    <x v="5"/>
    <x v="0"/>
  </r>
  <r>
    <x v="0"/>
    <x v="0"/>
    <x v="0"/>
    <s v="product flow"/>
    <s v="kt/y"/>
    <n v="4146"/>
    <m/>
    <n v="4146"/>
    <x v="6"/>
    <x v="0"/>
  </r>
  <r>
    <x v="0"/>
    <x v="0"/>
    <x v="0"/>
    <s v="product flow"/>
    <s v="kt/y"/>
    <n v="4146"/>
    <m/>
    <n v="4146"/>
    <x v="7"/>
    <x v="0"/>
  </r>
  <r>
    <x v="0"/>
    <x v="0"/>
    <x v="0"/>
    <s v="product flow"/>
    <s v="kt/y"/>
    <n v="3730"/>
    <m/>
    <n v="3730"/>
    <x v="8"/>
    <x v="0"/>
  </r>
  <r>
    <x v="0"/>
    <x v="0"/>
    <x v="0"/>
    <s v="product flow"/>
    <s v="kt/y"/>
    <n v="3560"/>
    <m/>
    <n v="3560"/>
    <x v="9"/>
    <x v="1"/>
  </r>
  <r>
    <x v="0"/>
    <x v="1"/>
    <x v="1"/>
    <s v="product flow"/>
    <s v="kt/y"/>
    <n v="14"/>
    <n v="1"/>
    <n v="17"/>
    <x v="3"/>
    <x v="0"/>
  </r>
  <r>
    <x v="0"/>
    <x v="1"/>
    <x v="1"/>
    <s v="product flow"/>
    <s v="kt/y"/>
    <n v="16"/>
    <n v="1"/>
    <n v="19.428571428571427"/>
    <x v="6"/>
    <x v="0"/>
  </r>
  <r>
    <x v="0"/>
    <x v="1"/>
    <x v="1"/>
    <s v="product flow"/>
    <s v="kt/y"/>
    <n v="14"/>
    <n v="1"/>
    <n v="17"/>
    <x v="8"/>
    <x v="1"/>
  </r>
  <r>
    <x v="0"/>
    <x v="1"/>
    <x v="2"/>
    <s v="capacity"/>
    <s v="kt/y"/>
    <n v="0"/>
    <n v="1"/>
    <n v="0"/>
    <x v="8"/>
    <x v="1"/>
  </r>
  <r>
    <x v="0"/>
    <x v="1"/>
    <x v="3"/>
    <s v="capacity"/>
    <s v="kt/y"/>
    <n v="0"/>
    <n v="1"/>
    <n v="0"/>
    <x v="8"/>
    <x v="1"/>
  </r>
  <r>
    <x v="0"/>
    <x v="2"/>
    <x v="4"/>
    <s v="capacity"/>
    <s v="kt/y"/>
    <n v="0"/>
    <n v="1"/>
    <n v="0"/>
    <x v="3"/>
    <x v="1"/>
  </r>
  <r>
    <x v="0"/>
    <x v="2"/>
    <x v="5"/>
    <s v="product flow"/>
    <s v="kt/y"/>
    <n v="1475"/>
    <m/>
    <n v="1475"/>
    <x v="0"/>
    <x v="0"/>
  </r>
  <r>
    <x v="0"/>
    <x v="2"/>
    <x v="5"/>
    <s v="product flow"/>
    <s v="kt/y"/>
    <n v="1500"/>
    <m/>
    <n v="1500"/>
    <x v="1"/>
    <x v="0"/>
  </r>
  <r>
    <x v="0"/>
    <x v="2"/>
    <x v="5"/>
    <s v="product flow"/>
    <s v="kt/y"/>
    <n v="1450"/>
    <m/>
    <n v="1450"/>
    <x v="2"/>
    <x v="0"/>
  </r>
  <r>
    <x v="0"/>
    <x v="2"/>
    <x v="5"/>
    <s v="product flow"/>
    <s v="kt/y"/>
    <n v="1500"/>
    <m/>
    <n v="1500"/>
    <x v="3"/>
    <x v="0"/>
  </r>
  <r>
    <x v="0"/>
    <x v="2"/>
    <x v="5"/>
    <s v="product flow"/>
    <s v="kt/y"/>
    <n v="1930"/>
    <m/>
    <n v="1930"/>
    <x v="4"/>
    <x v="0"/>
  </r>
  <r>
    <x v="0"/>
    <x v="2"/>
    <x v="5"/>
    <s v="product flow"/>
    <s v="kt/y"/>
    <n v="1706"/>
    <m/>
    <n v="1706"/>
    <x v="5"/>
    <x v="0"/>
  </r>
  <r>
    <x v="0"/>
    <x v="2"/>
    <x v="5"/>
    <s v="product flow"/>
    <s v="kt/y"/>
    <n v="2113"/>
    <m/>
    <n v="2113"/>
    <x v="6"/>
    <x v="0"/>
  </r>
  <r>
    <x v="0"/>
    <x v="2"/>
    <x v="5"/>
    <s v="product flow"/>
    <s v="kt/y"/>
    <n v="1798"/>
    <m/>
    <n v="1798"/>
    <x v="7"/>
    <x v="0"/>
  </r>
  <r>
    <x v="0"/>
    <x v="2"/>
    <x v="5"/>
    <s v="product flow"/>
    <s v="kt/y"/>
    <n v="1543"/>
    <m/>
    <n v="1543"/>
    <x v="8"/>
    <x v="0"/>
  </r>
  <r>
    <x v="0"/>
    <x v="2"/>
    <x v="5"/>
    <s v="product flow"/>
    <s v="kt/y"/>
    <n v="1314"/>
    <m/>
    <n v="1314"/>
    <x v="9"/>
    <x v="1"/>
  </r>
  <r>
    <x v="0"/>
    <x v="3"/>
    <x v="6"/>
    <s v="product flow"/>
    <s v="kt/y"/>
    <n v="169"/>
    <m/>
    <n v="169"/>
    <x v="8"/>
    <x v="1"/>
  </r>
  <r>
    <x v="0"/>
    <x v="3"/>
    <x v="7"/>
    <s v="product flow"/>
    <s v="kt/y"/>
    <n v="0"/>
    <m/>
    <n v="0"/>
    <x v="10"/>
    <x v="1"/>
  </r>
  <r>
    <x v="0"/>
    <x v="3"/>
    <x v="8"/>
    <s v="product flow"/>
    <s v="kt/y"/>
    <n v="0"/>
    <m/>
    <n v="0"/>
    <x v="10"/>
    <x v="1"/>
  </r>
  <r>
    <x v="0"/>
    <x v="4"/>
    <x v="9"/>
    <s v="product flow"/>
    <s v="kt/y"/>
    <n v="0"/>
    <m/>
    <n v="0"/>
    <x v="11"/>
    <x v="1"/>
  </r>
  <r>
    <x v="0"/>
    <x v="4"/>
    <x v="10"/>
    <s v="capacity"/>
    <s v="kt/y"/>
    <n v="47"/>
    <n v="1"/>
    <n v="37.6"/>
    <x v="3"/>
    <x v="0"/>
  </r>
  <r>
    <x v="0"/>
    <x v="4"/>
    <x v="10"/>
    <s v="capacity"/>
    <s v="kt/y"/>
    <n v="47"/>
    <n v="1"/>
    <n v="37.6"/>
    <x v="10"/>
    <x v="1"/>
  </r>
  <r>
    <x v="0"/>
    <x v="5"/>
    <x v="11"/>
    <s v="capacity"/>
    <s v="kt/y"/>
    <n v="3400"/>
    <n v="1"/>
    <n v="1735.3600000000001"/>
    <x v="3"/>
    <x v="0"/>
  </r>
  <r>
    <x v="0"/>
    <x v="5"/>
    <x v="11"/>
    <s v="capacity"/>
    <s v="kt/y"/>
    <n v="3400"/>
    <n v="1"/>
    <n v="1735.3600000000001"/>
    <x v="6"/>
    <x v="0"/>
  </r>
  <r>
    <x v="0"/>
    <x v="5"/>
    <x v="11"/>
    <s v="capacity"/>
    <s v="kt/y"/>
    <n v="3230"/>
    <n v="1"/>
    <n v="1648.5920000000001"/>
    <x v="10"/>
    <x v="1"/>
  </r>
  <r>
    <x v="1"/>
    <x v="0"/>
    <x v="0"/>
    <s v="product flow"/>
    <s v="kt/y"/>
    <n v="1700"/>
    <m/>
    <n v="1700"/>
    <x v="10"/>
    <x v="1"/>
  </r>
  <r>
    <x v="1"/>
    <x v="4"/>
    <x v="9"/>
    <s v="capacity"/>
    <s v="kt/y"/>
    <n v="650"/>
    <n v="1"/>
    <n v="520"/>
    <x v="11"/>
    <x v="1"/>
  </r>
  <r>
    <x v="1"/>
    <x v="4"/>
    <x v="10"/>
    <s v="capacity"/>
    <s v="kt/y"/>
    <n v="332"/>
    <n v="1"/>
    <n v="265.60000000000002"/>
    <x v="3"/>
    <x v="0"/>
  </r>
  <r>
    <x v="1"/>
    <x v="4"/>
    <x v="10"/>
    <s v="capacity"/>
    <s v="kt/y"/>
    <n v="371"/>
    <n v="1"/>
    <n v="296.8"/>
    <x v="10"/>
    <x v="1"/>
  </r>
  <r>
    <x v="1"/>
    <x v="1"/>
    <x v="1"/>
    <s v="product flow"/>
    <s v="kt/y"/>
    <n v="300"/>
    <n v="1"/>
    <n v="364.28571428571428"/>
    <x v="3"/>
    <x v="0"/>
  </r>
  <r>
    <x v="1"/>
    <x v="1"/>
    <x v="1"/>
    <s v="product flow"/>
    <s v="kt/y"/>
    <n v="330"/>
    <n v="1"/>
    <n v="400.71428571428567"/>
    <x v="6"/>
    <x v="0"/>
  </r>
  <r>
    <x v="1"/>
    <x v="1"/>
    <x v="1"/>
    <s v="product flow"/>
    <s v="kt/y"/>
    <n v="330"/>
    <n v="1"/>
    <n v="400.71428571428567"/>
    <x v="8"/>
    <x v="1"/>
  </r>
  <r>
    <x v="1"/>
    <x v="1"/>
    <x v="3"/>
    <s v="capacity"/>
    <s v="kt/y"/>
    <n v="1900"/>
    <n v="1"/>
    <n v="1520"/>
    <x v="3"/>
    <x v="0"/>
  </r>
  <r>
    <x v="1"/>
    <x v="1"/>
    <x v="3"/>
    <s v="capacity"/>
    <s v="kt/y"/>
    <n v="2000"/>
    <n v="1"/>
    <n v="1600"/>
    <x v="6"/>
    <x v="0"/>
  </r>
  <r>
    <x v="1"/>
    <x v="1"/>
    <x v="2"/>
    <s v="capacity"/>
    <s v="kt/y"/>
    <n v="0"/>
    <n v="1"/>
    <n v="0"/>
    <x v="9"/>
    <x v="1"/>
  </r>
  <r>
    <x v="1"/>
    <x v="1"/>
    <x v="3"/>
    <s v="capacity"/>
    <s v="kt/y"/>
    <n v="2100"/>
    <n v="1"/>
    <n v="1680"/>
    <x v="9"/>
    <x v="1"/>
  </r>
  <r>
    <x v="1"/>
    <x v="3"/>
    <x v="6"/>
    <s v="product flow"/>
    <s v="kt/y"/>
    <n v="0"/>
    <m/>
    <n v="0"/>
    <x v="10"/>
    <x v="1"/>
  </r>
  <r>
    <x v="1"/>
    <x v="3"/>
    <x v="7"/>
    <s v="product flow"/>
    <s v="kt/y"/>
    <n v="50"/>
    <m/>
    <n v="50"/>
    <x v="10"/>
    <x v="1"/>
  </r>
  <r>
    <x v="1"/>
    <x v="3"/>
    <x v="8"/>
    <s v="product flow"/>
    <s v="kt/y"/>
    <n v="0"/>
    <m/>
    <n v="0"/>
    <x v="10"/>
    <x v="1"/>
  </r>
  <r>
    <x v="1"/>
    <x v="5"/>
    <x v="11"/>
    <s v="capacity"/>
    <s v="kt/y"/>
    <n v="16000"/>
    <n v="1"/>
    <n v="8166.4000000000005"/>
    <x v="3"/>
    <x v="0"/>
  </r>
  <r>
    <x v="1"/>
    <x v="5"/>
    <x v="11"/>
    <s v="capacity"/>
    <s v="kt/y"/>
    <n v="10200"/>
    <n v="1"/>
    <n v="5206.08"/>
    <x v="6"/>
    <x v="0"/>
  </r>
  <r>
    <x v="1"/>
    <x v="5"/>
    <x v="11"/>
    <s v="capacity"/>
    <s v="kt/y"/>
    <n v="10390"/>
    <n v="1"/>
    <n v="5303.0560000000005"/>
    <x v="10"/>
    <x v="1"/>
  </r>
  <r>
    <x v="1"/>
    <x v="2"/>
    <x v="4"/>
    <s v="capacity"/>
    <s v="kt/y"/>
    <n v="0"/>
    <n v="1"/>
    <n v="0"/>
    <x v="3"/>
    <x v="1"/>
  </r>
  <r>
    <x v="1"/>
    <x v="2"/>
    <x v="5"/>
    <s v="product flow"/>
    <s v="kt/y"/>
    <n v="575"/>
    <m/>
    <n v="575"/>
    <x v="3"/>
    <x v="0"/>
  </r>
  <r>
    <x v="1"/>
    <x v="2"/>
    <x v="5"/>
    <s v="product flow"/>
    <s v="kt/y"/>
    <n v="623.84"/>
    <m/>
    <n v="623.84"/>
    <x v="5"/>
    <x v="0"/>
  </r>
  <r>
    <x v="1"/>
    <x v="2"/>
    <x v="5"/>
    <s v="product flow"/>
    <s v="kt/y"/>
    <n v="622.48199999999997"/>
    <m/>
    <n v="622.48199999999997"/>
    <x v="6"/>
    <x v="0"/>
  </r>
  <r>
    <x v="1"/>
    <x v="2"/>
    <x v="5"/>
    <s v="product flow"/>
    <s v="kt/y"/>
    <n v="703.923"/>
    <m/>
    <n v="703.923"/>
    <x v="7"/>
    <x v="0"/>
  </r>
  <r>
    <x v="1"/>
    <x v="2"/>
    <x v="5"/>
    <s v="product flow"/>
    <s v="kt/y"/>
    <n v="689.88400000000001"/>
    <m/>
    <n v="689.88400000000001"/>
    <x v="8"/>
    <x v="0"/>
  </r>
  <r>
    <x v="1"/>
    <x v="2"/>
    <x v="5"/>
    <s v="product flow"/>
    <s v="kt/y"/>
    <n v="610.10599999999999"/>
    <m/>
    <n v="610.10599999999999"/>
    <x v="9"/>
    <x v="1"/>
  </r>
  <r>
    <x v="2"/>
    <x v="0"/>
    <x v="0"/>
    <s v="product flow"/>
    <s v="kt/y"/>
    <n v="9100"/>
    <m/>
    <n v="9100"/>
    <x v="3"/>
    <x v="0"/>
  </r>
  <r>
    <x v="2"/>
    <x v="0"/>
    <x v="0"/>
    <s v="product flow"/>
    <s v="kt/y"/>
    <n v="9079"/>
    <m/>
    <n v="9079"/>
    <x v="4"/>
    <x v="0"/>
  </r>
  <r>
    <x v="2"/>
    <x v="0"/>
    <x v="0"/>
    <s v="product flow"/>
    <s v="kt/y"/>
    <n v="8046"/>
    <m/>
    <n v="8046"/>
    <x v="5"/>
    <x v="0"/>
  </r>
  <r>
    <x v="2"/>
    <x v="0"/>
    <x v="0"/>
    <s v="product flow"/>
    <s v="kt/y"/>
    <n v="9008"/>
    <m/>
    <n v="9008"/>
    <x v="6"/>
    <x v="0"/>
  </r>
  <r>
    <x v="2"/>
    <x v="0"/>
    <x v="0"/>
    <s v="product flow"/>
    <s v="kt/y"/>
    <n v="8393"/>
    <m/>
    <n v="8393"/>
    <x v="7"/>
    <x v="0"/>
  </r>
  <r>
    <x v="2"/>
    <x v="0"/>
    <x v="0"/>
    <s v="product flow"/>
    <s v="kt/y"/>
    <n v="7689"/>
    <m/>
    <n v="7689"/>
    <x v="8"/>
    <x v="0"/>
  </r>
  <r>
    <x v="2"/>
    <x v="0"/>
    <x v="0"/>
    <s v="product flow"/>
    <s v="kt/y"/>
    <n v="7100"/>
    <m/>
    <n v="7100"/>
    <x v="9"/>
    <x v="1"/>
  </r>
  <r>
    <x v="2"/>
    <x v="4"/>
    <x v="9"/>
    <s v="capacity"/>
    <s v="kt/y"/>
    <n v="1470"/>
    <n v="1"/>
    <n v="1176"/>
    <x v="11"/>
    <x v="1"/>
  </r>
  <r>
    <x v="2"/>
    <x v="4"/>
    <x v="10"/>
    <s v="capacity"/>
    <s v="kt/y"/>
    <n v="481"/>
    <n v="1"/>
    <n v="384.8"/>
    <x v="3"/>
    <x v="0"/>
  </r>
  <r>
    <x v="2"/>
    <x v="4"/>
    <x v="10"/>
    <s v="capacity"/>
    <s v="kt/y"/>
    <n v="474"/>
    <n v="1"/>
    <n v="379.20000000000005"/>
    <x v="10"/>
    <x v="1"/>
  </r>
  <r>
    <x v="2"/>
    <x v="1"/>
    <x v="1"/>
    <s v="product flow"/>
    <s v="kt/y"/>
    <n v="740"/>
    <n v="1"/>
    <n v="898.57142857142856"/>
    <x v="3"/>
    <x v="0"/>
  </r>
  <r>
    <x v="2"/>
    <x v="1"/>
    <x v="1"/>
    <s v="product flow"/>
    <s v="kt/y"/>
    <n v="630"/>
    <n v="1"/>
    <n v="764.99999999999989"/>
    <x v="6"/>
    <x v="0"/>
  </r>
  <r>
    <x v="2"/>
    <x v="1"/>
    <x v="1"/>
    <s v="product flow"/>
    <s v="kt/y"/>
    <n v="40"/>
    <n v="1"/>
    <n v="48.571428571428569"/>
    <x v="8"/>
    <x v="1"/>
  </r>
  <r>
    <x v="2"/>
    <x v="1"/>
    <x v="2"/>
    <s v="capacity"/>
    <s v="kt/y"/>
    <n v="0"/>
    <n v="1"/>
    <n v="0"/>
    <x v="9"/>
    <x v="1"/>
  </r>
  <r>
    <x v="2"/>
    <x v="1"/>
    <x v="3"/>
    <s v="capacity"/>
    <s v="kt/y"/>
    <n v="1005"/>
    <n v="1"/>
    <n v="804"/>
    <x v="9"/>
    <x v="1"/>
  </r>
  <r>
    <x v="2"/>
    <x v="3"/>
    <x v="6"/>
    <s v="product flow"/>
    <s v="kt/y"/>
    <n v="1800"/>
    <m/>
    <n v="1800"/>
    <x v="2"/>
    <x v="1"/>
  </r>
  <r>
    <x v="2"/>
    <x v="3"/>
    <x v="7"/>
    <s v="product flow"/>
    <s v="kt/y"/>
    <n v="300"/>
    <m/>
    <n v="300"/>
    <x v="2"/>
    <x v="1"/>
  </r>
  <r>
    <x v="2"/>
    <x v="3"/>
    <x v="8"/>
    <s v="product flow"/>
    <s v="kt/y"/>
    <n v="900"/>
    <m/>
    <n v="900"/>
    <x v="2"/>
    <x v="1"/>
  </r>
  <r>
    <x v="2"/>
    <x v="5"/>
    <x v="11"/>
    <s v="capacity"/>
    <s v="kt/y"/>
    <n v="60900"/>
    <n v="1"/>
    <n v="31083.360000000001"/>
    <x v="3"/>
    <x v="0"/>
  </r>
  <r>
    <x v="2"/>
    <x v="5"/>
    <x v="11"/>
    <s v="capacity"/>
    <s v="kt/y"/>
    <n v="58600"/>
    <n v="1"/>
    <n v="29909.440000000002"/>
    <x v="6"/>
    <x v="0"/>
  </r>
  <r>
    <x v="2"/>
    <x v="5"/>
    <x v="11"/>
    <s v="capacity"/>
    <s v="kt/y"/>
    <n v="45500"/>
    <n v="1"/>
    <n v="23223.200000000001"/>
    <x v="10"/>
    <x v="1"/>
  </r>
  <r>
    <x v="2"/>
    <x v="2"/>
    <x v="4"/>
    <s v="product flow"/>
    <s v="kt/y"/>
    <n v="5651"/>
    <m/>
    <n v="5651"/>
    <x v="3"/>
    <x v="0"/>
  </r>
  <r>
    <x v="2"/>
    <x v="2"/>
    <x v="5"/>
    <s v="product flow"/>
    <s v="kt/y"/>
    <n v="1616"/>
    <m/>
    <n v="1616"/>
    <x v="3"/>
    <x v="0"/>
  </r>
  <r>
    <x v="2"/>
    <x v="2"/>
    <x v="4"/>
    <s v="product flow"/>
    <s v="kt/y"/>
    <n v="5882.4"/>
    <m/>
    <n v="5882.4"/>
    <x v="6"/>
    <x v="0"/>
  </r>
  <r>
    <x v="2"/>
    <x v="2"/>
    <x v="5"/>
    <s v="product flow"/>
    <s v="kt/y"/>
    <n v="1317.6"/>
    <m/>
    <n v="1317.6"/>
    <x v="6"/>
    <x v="0"/>
  </r>
  <r>
    <x v="2"/>
    <x v="2"/>
    <x v="4"/>
    <s v="product flow"/>
    <s v="kt/y"/>
    <n v="2868"/>
    <m/>
    <n v="2868"/>
    <x v="9"/>
    <x v="1"/>
  </r>
  <r>
    <x v="2"/>
    <x v="2"/>
    <x v="5"/>
    <s v="product flow"/>
    <s v="kt/y"/>
    <n v="1132"/>
    <m/>
    <n v="1132"/>
    <x v="9"/>
    <x v="1"/>
  </r>
  <r>
    <x v="0"/>
    <x v="6"/>
    <x v="12"/>
    <s v="product flow"/>
    <s v="kt/y"/>
    <n v="0"/>
    <m/>
    <n v="0"/>
    <x v="6"/>
    <x v="1"/>
  </r>
  <r>
    <x v="0"/>
    <x v="6"/>
    <x v="13"/>
    <s v="product flow"/>
    <s v="kt/y"/>
    <n v="351"/>
    <m/>
    <n v="351"/>
    <x v="3"/>
    <x v="1"/>
  </r>
  <r>
    <x v="1"/>
    <x v="6"/>
    <x v="12"/>
    <s v="product flow"/>
    <s v="kt/y"/>
    <n v="1295"/>
    <m/>
    <n v="1295"/>
    <x v="3"/>
    <x v="0"/>
  </r>
  <r>
    <x v="1"/>
    <x v="6"/>
    <x v="12"/>
    <s v="product flow"/>
    <s v="kt/y"/>
    <n v="1400"/>
    <m/>
    <n v="1400"/>
    <x v="6"/>
    <x v="0"/>
  </r>
  <r>
    <x v="1"/>
    <x v="6"/>
    <x v="12"/>
    <s v="product flow"/>
    <s v="kt/y"/>
    <n v="1400"/>
    <m/>
    <n v="1400"/>
    <x v="7"/>
    <x v="1"/>
  </r>
  <r>
    <x v="1"/>
    <x v="6"/>
    <x v="13"/>
    <s v="product flow"/>
    <s v="kt/y"/>
    <n v="0"/>
    <m/>
    <n v="0"/>
    <x v="3"/>
    <x v="1"/>
  </r>
  <r>
    <x v="2"/>
    <x v="6"/>
    <x v="12"/>
    <s v="product flow"/>
    <s v="kt/y"/>
    <n v="44"/>
    <m/>
    <n v="44"/>
    <x v="3"/>
    <x v="0"/>
  </r>
  <r>
    <x v="2"/>
    <x v="6"/>
    <x v="12"/>
    <s v="product flow"/>
    <s v="kt/y"/>
    <n v="38"/>
    <m/>
    <n v="38"/>
    <x v="6"/>
    <x v="0"/>
  </r>
  <r>
    <x v="2"/>
    <x v="6"/>
    <x v="12"/>
    <s v="product flow"/>
    <s v="kt/y"/>
    <n v="38"/>
    <m/>
    <n v="38"/>
    <x v="7"/>
    <x v="1"/>
  </r>
  <r>
    <x v="2"/>
    <x v="6"/>
    <x v="13"/>
    <s v="product flow"/>
    <s v="kt/y"/>
    <n v="148.80000000000001"/>
    <m/>
    <n v="148.80000000000001"/>
    <x v="3"/>
    <x v="0"/>
  </r>
  <r>
    <x v="2"/>
    <x v="6"/>
    <x v="13"/>
    <s v="product flow"/>
    <s v="kt/y"/>
    <n v="130"/>
    <m/>
    <n v="130"/>
    <x v="6"/>
    <x v="1"/>
  </r>
  <r>
    <x v="0"/>
    <x v="2"/>
    <x v="5"/>
    <s v="product flow"/>
    <s v="kt/y"/>
    <n v="446.39"/>
    <m/>
    <n v="446.39"/>
    <x v="4"/>
    <x v="2"/>
  </r>
  <r>
    <x v="0"/>
    <x v="2"/>
    <x v="4"/>
    <s v="product flow"/>
    <s v="kt/y"/>
    <n v="605.88"/>
    <m/>
    <n v="605.88"/>
    <x v="4"/>
    <x v="2"/>
  </r>
  <r>
    <x v="0"/>
    <x v="4"/>
    <x v="14"/>
    <s v="product flow"/>
    <s v="kt/y"/>
    <n v="330.51"/>
    <m/>
    <n v="330.51"/>
    <x v="4"/>
    <x v="2"/>
  </r>
  <r>
    <x v="0"/>
    <x v="4"/>
    <x v="15"/>
    <s v="product flow"/>
    <s v="kt/y"/>
    <n v="126.67"/>
    <m/>
    <n v="126.67"/>
    <x v="4"/>
    <x v="2"/>
  </r>
  <r>
    <x v="0"/>
    <x v="0"/>
    <x v="0"/>
    <s v="product flow"/>
    <s v="kt/y"/>
    <n v="1637.26"/>
    <m/>
    <n v="1637.26"/>
    <x v="4"/>
    <x v="2"/>
  </r>
  <r>
    <x v="0"/>
    <x v="7"/>
    <x v="16"/>
    <s v="product flow"/>
    <s v="kt/y"/>
    <n v="2940.82"/>
    <m/>
    <n v="2940.82"/>
    <x v="4"/>
    <x v="2"/>
  </r>
  <r>
    <x v="0"/>
    <x v="3"/>
    <x v="17"/>
    <s v="product flow"/>
    <s v="kt/y"/>
    <n v="333.44"/>
    <m/>
    <n v="333.44"/>
    <x v="4"/>
    <x v="2"/>
  </r>
  <r>
    <x v="0"/>
    <x v="8"/>
    <x v="18"/>
    <s v="product flow"/>
    <s v="kt/y"/>
    <n v="265.07"/>
    <m/>
    <n v="265.07"/>
    <x v="4"/>
    <x v="2"/>
  </r>
  <r>
    <x v="0"/>
    <x v="8"/>
    <x v="19"/>
    <s v="product flow"/>
    <s v="kt/y"/>
    <n v="598.99"/>
    <m/>
    <n v="598.99"/>
    <x v="4"/>
    <x v="2"/>
  </r>
  <r>
    <x v="0"/>
    <x v="8"/>
    <x v="20"/>
    <s v="product flow"/>
    <s v="kt/y"/>
    <n v="68.709999999999994"/>
    <m/>
    <n v="68.709999999999994"/>
    <x v="4"/>
    <x v="2"/>
  </r>
  <r>
    <x v="0"/>
    <x v="9"/>
    <x v="21"/>
    <s v="product flow"/>
    <s v="kt/y"/>
    <n v="3522.76"/>
    <m/>
    <n v="3522.76"/>
    <x v="4"/>
    <x v="2"/>
  </r>
  <r>
    <x v="0"/>
    <x v="6"/>
    <x v="22"/>
    <s v="product flow"/>
    <s v="kt/y"/>
    <n v="0"/>
    <m/>
    <n v="0"/>
    <x v="4"/>
    <x v="2"/>
  </r>
  <r>
    <x v="0"/>
    <x v="6"/>
    <x v="12"/>
    <s v="product flow"/>
    <s v="kt/y"/>
    <n v="0"/>
    <m/>
    <n v="0"/>
    <x v="4"/>
    <x v="2"/>
  </r>
  <r>
    <x v="0"/>
    <x v="6"/>
    <x v="13"/>
    <s v="product flow"/>
    <s v="kt/y"/>
    <n v="0"/>
    <m/>
    <n v="0"/>
    <x v="4"/>
    <x v="2"/>
  </r>
  <r>
    <x v="0"/>
    <x v="6"/>
    <x v="23"/>
    <s v="product flow"/>
    <s v="kt/y"/>
    <n v="0"/>
    <m/>
    <n v="0"/>
    <x v="4"/>
    <x v="2"/>
  </r>
  <r>
    <x v="0"/>
    <x v="10"/>
    <x v="24"/>
    <s v="product flow"/>
    <s v="kt/y"/>
    <n v="13604.09"/>
    <m/>
    <n v="13604.09"/>
    <x v="4"/>
    <x v="2"/>
  </r>
  <r>
    <x v="0"/>
    <x v="10"/>
    <x v="25"/>
    <s v="product flow"/>
    <s v="kt/y"/>
    <n v="3584.44"/>
    <m/>
    <n v="3584.44"/>
    <x v="4"/>
    <x v="2"/>
  </r>
  <r>
    <x v="0"/>
    <x v="10"/>
    <x v="26"/>
    <s v="product flow"/>
    <s v="kt/y"/>
    <n v="639.09"/>
    <m/>
    <n v="639.09"/>
    <x v="4"/>
    <x v="2"/>
  </r>
  <r>
    <x v="0"/>
    <x v="10"/>
    <x v="27"/>
    <s v="product flow"/>
    <s v="kt/y"/>
    <n v="0"/>
    <m/>
    <n v="0"/>
    <x v="4"/>
    <x v="2"/>
  </r>
  <r>
    <x v="0"/>
    <x v="10"/>
    <x v="28"/>
    <s v="product flow"/>
    <s v="kt/y"/>
    <n v="8032.98"/>
    <m/>
    <n v="8032.98"/>
    <x v="4"/>
    <x v="2"/>
  </r>
  <r>
    <x v="0"/>
    <x v="1"/>
    <x v="1"/>
    <s v="product flow"/>
    <s v="kt/y"/>
    <n v="17"/>
    <m/>
    <n v="17"/>
    <x v="4"/>
    <x v="2"/>
  </r>
  <r>
    <x v="0"/>
    <x v="4"/>
    <x v="9"/>
    <s v="product flow"/>
    <s v="kt/y"/>
    <n v="735.62"/>
    <m/>
    <n v="735.62"/>
    <x v="4"/>
    <x v="2"/>
  </r>
  <r>
    <x v="0"/>
    <x v="4"/>
    <x v="10"/>
    <s v="product flow"/>
    <s v="kt/y"/>
    <n v="135.52000000000001"/>
    <m/>
    <n v="135.52000000000001"/>
    <x v="4"/>
    <x v="2"/>
  </r>
  <r>
    <x v="0"/>
    <x v="5"/>
    <x v="29"/>
    <s v="product flow"/>
    <s v="kt/y"/>
    <n v="21.22"/>
    <m/>
    <n v="21.22"/>
    <x v="4"/>
    <x v="2"/>
  </r>
  <r>
    <x v="2"/>
    <x v="2"/>
    <x v="5"/>
    <s v="product flow"/>
    <s v="kt/y"/>
    <n v="2201.54"/>
    <m/>
    <n v="2201.54"/>
    <x v="4"/>
    <x v="2"/>
  </r>
  <r>
    <x v="2"/>
    <x v="2"/>
    <x v="4"/>
    <s v="product flow"/>
    <s v="kt/y"/>
    <n v="2988.17"/>
    <m/>
    <n v="2988.17"/>
    <x v="4"/>
    <x v="2"/>
  </r>
  <r>
    <x v="2"/>
    <x v="4"/>
    <x v="14"/>
    <s v="product flow"/>
    <s v="kt/y"/>
    <n v="1748.47"/>
    <m/>
    <n v="1748.47"/>
    <x v="4"/>
    <x v="2"/>
  </r>
  <r>
    <x v="2"/>
    <x v="4"/>
    <x v="15"/>
    <s v="product flow"/>
    <s v="kt/y"/>
    <n v="670.13"/>
    <m/>
    <n v="670.13"/>
    <x v="4"/>
    <x v="2"/>
  </r>
  <r>
    <x v="2"/>
    <x v="0"/>
    <x v="0"/>
    <s v="product flow"/>
    <s v="kt/y"/>
    <n v="3077.1"/>
    <m/>
    <n v="3077.1"/>
    <x v="4"/>
    <x v="2"/>
  </r>
  <r>
    <x v="2"/>
    <x v="7"/>
    <x v="16"/>
    <s v="product flow"/>
    <s v="kt/y"/>
    <n v="5527.03"/>
    <m/>
    <n v="5527.03"/>
    <x v="4"/>
    <x v="2"/>
  </r>
  <r>
    <x v="2"/>
    <x v="3"/>
    <x v="17"/>
    <s v="product flow"/>
    <s v="kt/y"/>
    <n v="626.66"/>
    <m/>
    <n v="626.66"/>
    <x v="4"/>
    <x v="2"/>
  </r>
  <r>
    <x v="2"/>
    <x v="8"/>
    <x v="18"/>
    <s v="product flow"/>
    <s v="kt/y"/>
    <n v="2025.53"/>
    <m/>
    <n v="2025.53"/>
    <x v="4"/>
    <x v="2"/>
  </r>
  <r>
    <x v="2"/>
    <x v="8"/>
    <x v="19"/>
    <s v="product flow"/>
    <s v="kt/y"/>
    <n v="4577.2"/>
    <m/>
    <n v="4577.2"/>
    <x v="4"/>
    <x v="2"/>
  </r>
  <r>
    <x v="2"/>
    <x v="8"/>
    <x v="20"/>
    <s v="product flow"/>
    <s v="kt/y"/>
    <n v="525.03"/>
    <m/>
    <n v="525.03"/>
    <x v="4"/>
    <x v="2"/>
  </r>
  <r>
    <x v="2"/>
    <x v="9"/>
    <x v="21"/>
    <s v="product flow"/>
    <s v="kt/y"/>
    <n v="23956.37"/>
    <m/>
    <n v="23956.37"/>
    <x v="4"/>
    <x v="2"/>
  </r>
  <r>
    <x v="2"/>
    <x v="6"/>
    <x v="22"/>
    <s v="product flow"/>
    <s v="kt/y"/>
    <n v="0"/>
    <m/>
    <n v="0"/>
    <x v="4"/>
    <x v="2"/>
  </r>
  <r>
    <x v="2"/>
    <x v="6"/>
    <x v="12"/>
    <s v="product flow"/>
    <s v="kt/y"/>
    <n v="0"/>
    <m/>
    <n v="0"/>
    <x v="4"/>
    <x v="2"/>
  </r>
  <r>
    <x v="2"/>
    <x v="6"/>
    <x v="13"/>
    <s v="product flow"/>
    <s v="kt/y"/>
    <n v="0"/>
    <m/>
    <n v="0"/>
    <x v="4"/>
    <x v="2"/>
  </r>
  <r>
    <x v="2"/>
    <x v="6"/>
    <x v="23"/>
    <s v="product flow"/>
    <s v="kt/y"/>
    <n v="0"/>
    <m/>
    <n v="0"/>
    <x v="4"/>
    <x v="2"/>
  </r>
  <r>
    <x v="2"/>
    <x v="10"/>
    <x v="24"/>
    <s v="product flow"/>
    <s v="kt/y"/>
    <n v="41261.53"/>
    <m/>
    <n v="41261.53"/>
    <x v="4"/>
    <x v="2"/>
  </r>
  <r>
    <x v="2"/>
    <x v="10"/>
    <x v="25"/>
    <s v="product flow"/>
    <s v="kt/y"/>
    <n v="75280.94"/>
    <m/>
    <n v="75280.94"/>
    <x v="4"/>
    <x v="2"/>
  </r>
  <r>
    <x v="2"/>
    <x v="10"/>
    <x v="26"/>
    <s v="product flow"/>
    <s v="kt/y"/>
    <n v="9402.5"/>
    <m/>
    <n v="9402.5"/>
    <x v="4"/>
    <x v="2"/>
  </r>
  <r>
    <x v="2"/>
    <x v="10"/>
    <x v="27"/>
    <s v="product flow"/>
    <s v="kt/y"/>
    <n v="334.64"/>
    <m/>
    <n v="334.64"/>
    <x v="4"/>
    <x v="2"/>
  </r>
  <r>
    <x v="2"/>
    <x v="10"/>
    <x v="28"/>
    <s v="product flow"/>
    <s v="kt/y"/>
    <n v="170589.19"/>
    <m/>
    <n v="170589.19"/>
    <x v="4"/>
    <x v="2"/>
  </r>
  <r>
    <x v="2"/>
    <x v="1"/>
    <x v="1"/>
    <s v="product flow"/>
    <s v="kt/y"/>
    <n v="959.29"/>
    <m/>
    <n v="959.29"/>
    <x v="4"/>
    <x v="2"/>
  </r>
  <r>
    <x v="2"/>
    <x v="4"/>
    <x v="9"/>
    <s v="product flow"/>
    <s v="kt/y"/>
    <n v="3236.42"/>
    <m/>
    <n v="3236.42"/>
    <x v="4"/>
    <x v="2"/>
  </r>
  <r>
    <x v="2"/>
    <x v="4"/>
    <x v="10"/>
    <s v="product flow"/>
    <s v="kt/y"/>
    <n v="596.25"/>
    <m/>
    <n v="596.25"/>
    <x v="4"/>
    <x v="2"/>
  </r>
  <r>
    <x v="2"/>
    <x v="5"/>
    <x v="29"/>
    <s v="product flow"/>
    <s v="kt/y"/>
    <n v="93.36"/>
    <m/>
    <n v="93.36"/>
    <x v="4"/>
    <x v="2"/>
  </r>
  <r>
    <x v="1"/>
    <x v="2"/>
    <x v="5"/>
    <s v="product flow"/>
    <s v="kt/y"/>
    <n v="1857.21"/>
    <m/>
    <n v="1857.21"/>
    <x v="4"/>
    <x v="2"/>
  </r>
  <r>
    <x v="1"/>
    <x v="2"/>
    <x v="4"/>
    <s v="product flow"/>
    <s v="kt/y"/>
    <n v="2520.8000000000002"/>
    <m/>
    <n v="2520.8000000000002"/>
    <x v="4"/>
    <x v="2"/>
  </r>
  <r>
    <x v="1"/>
    <x v="4"/>
    <x v="14"/>
    <s v="product flow"/>
    <s v="kt/y"/>
    <n v="764.87"/>
    <m/>
    <n v="764.87"/>
    <x v="4"/>
    <x v="2"/>
  </r>
  <r>
    <x v="1"/>
    <x v="4"/>
    <x v="15"/>
    <s v="product flow"/>
    <s v="kt/y"/>
    <n v="293.14999999999998"/>
    <m/>
    <n v="293.14999999999998"/>
    <x v="4"/>
    <x v="2"/>
  </r>
  <r>
    <x v="1"/>
    <x v="0"/>
    <x v="0"/>
    <s v="product flow"/>
    <s v="kt/y"/>
    <n v="10122.93"/>
    <m/>
    <n v="10122.93"/>
    <x v="4"/>
    <x v="2"/>
  </r>
  <r>
    <x v="1"/>
    <x v="7"/>
    <x v="16"/>
    <s v="product flow"/>
    <s v="kt/y"/>
    <n v="18182.62"/>
    <m/>
    <n v="18182.62"/>
    <x v="4"/>
    <x v="2"/>
  </r>
  <r>
    <x v="1"/>
    <x v="3"/>
    <x v="17"/>
    <s v="product flow"/>
    <s v="kt/y"/>
    <n v="2061.58"/>
    <m/>
    <n v="2061.58"/>
    <x v="4"/>
    <x v="2"/>
  </r>
  <r>
    <x v="1"/>
    <x v="8"/>
    <x v="18"/>
    <s v="product flow"/>
    <s v="kt/y"/>
    <n v="537.86"/>
    <m/>
    <n v="537.86"/>
    <x v="4"/>
    <x v="2"/>
  </r>
  <r>
    <x v="1"/>
    <x v="8"/>
    <x v="19"/>
    <s v="product flow"/>
    <s v="kt/y"/>
    <n v="1215.44"/>
    <m/>
    <n v="1215.44"/>
    <x v="4"/>
    <x v="2"/>
  </r>
  <r>
    <x v="1"/>
    <x v="8"/>
    <x v="20"/>
    <s v="product flow"/>
    <s v="kt/y"/>
    <n v="139.41999999999999"/>
    <m/>
    <n v="139.41999999999999"/>
    <x v="4"/>
    <x v="2"/>
  </r>
  <r>
    <x v="1"/>
    <x v="9"/>
    <x v="21"/>
    <s v="product flow"/>
    <s v="kt/y"/>
    <n v="3382.16"/>
    <m/>
    <n v="3382.16"/>
    <x v="4"/>
    <x v="2"/>
  </r>
  <r>
    <x v="1"/>
    <x v="6"/>
    <x v="22"/>
    <s v="product flow"/>
    <s v="kt/y"/>
    <n v="0"/>
    <m/>
    <n v="0"/>
    <x v="4"/>
    <x v="2"/>
  </r>
  <r>
    <x v="1"/>
    <x v="6"/>
    <x v="12"/>
    <s v="product flow"/>
    <s v="kt/y"/>
    <n v="0"/>
    <m/>
    <n v="0"/>
    <x v="4"/>
    <x v="2"/>
  </r>
  <r>
    <x v="1"/>
    <x v="6"/>
    <x v="13"/>
    <s v="product flow"/>
    <s v="kt/y"/>
    <n v="0"/>
    <m/>
    <n v="0"/>
    <x v="4"/>
    <x v="2"/>
  </r>
  <r>
    <x v="1"/>
    <x v="6"/>
    <x v="23"/>
    <s v="product flow"/>
    <s v="kt/y"/>
    <n v="0"/>
    <m/>
    <n v="0"/>
    <x v="4"/>
    <x v="2"/>
  </r>
  <r>
    <x v="1"/>
    <x v="10"/>
    <x v="24"/>
    <s v="product flow"/>
    <s v="kt/y"/>
    <n v="1827.29"/>
    <m/>
    <n v="1827.29"/>
    <x v="4"/>
    <x v="2"/>
  </r>
  <r>
    <x v="1"/>
    <x v="10"/>
    <x v="25"/>
    <s v="product flow"/>
    <s v="kt/y"/>
    <n v="4107.08"/>
    <m/>
    <n v="4107.08"/>
    <x v="4"/>
    <x v="2"/>
  </r>
  <r>
    <x v="1"/>
    <x v="10"/>
    <x v="26"/>
    <s v="product flow"/>
    <s v="kt/y"/>
    <n v="192.32"/>
    <m/>
    <n v="192.32"/>
    <x v="4"/>
    <x v="2"/>
  </r>
  <r>
    <x v="1"/>
    <x v="10"/>
    <x v="27"/>
    <s v="product flow"/>
    <s v="kt/y"/>
    <n v="723.26"/>
    <m/>
    <n v="723.26"/>
    <x v="4"/>
    <x v="2"/>
  </r>
  <r>
    <x v="1"/>
    <x v="10"/>
    <x v="28"/>
    <s v="product flow"/>
    <s v="kt/y"/>
    <n v="2100.37"/>
    <m/>
    <n v="2100.37"/>
    <x v="4"/>
    <x v="2"/>
  </r>
  <r>
    <x v="1"/>
    <x v="1"/>
    <x v="1"/>
    <s v="product flow"/>
    <s v="kt/y"/>
    <n v="364.29"/>
    <m/>
    <n v="364.29"/>
    <x v="4"/>
    <x v="2"/>
  </r>
  <r>
    <x v="1"/>
    <x v="4"/>
    <x v="9"/>
    <s v="product flow"/>
    <s v="kt/y"/>
    <n v="1457.49"/>
    <m/>
    <n v="1457.49"/>
    <x v="4"/>
    <x v="2"/>
  </r>
  <r>
    <x v="1"/>
    <x v="4"/>
    <x v="10"/>
    <s v="product flow"/>
    <s v="kt/y"/>
    <n v="268.51"/>
    <m/>
    <n v="268.51"/>
    <x v="4"/>
    <x v="2"/>
  </r>
  <r>
    <x v="1"/>
    <x v="5"/>
    <x v="29"/>
    <s v="product flow"/>
    <s v="kt/y"/>
    <n v="42.04"/>
    <m/>
    <n v="42.04"/>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7E9439-883F-42CA-B5D7-219781A87628}" name="PivotTable1" cacheId="23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L48" firstHeaderRow="1" firstDataRow="3" firstDataCol="1" rowPageCount="1" colPageCount="1"/>
  <pivotFields count="10">
    <pivotField axis="axisCol" showAll="0">
      <items count="4">
        <item x="0"/>
        <item x="1"/>
        <item x="2"/>
        <item t="default"/>
      </items>
    </pivotField>
    <pivotField axis="axisRow" showAll="0">
      <items count="12">
        <item x="0"/>
        <item x="4"/>
        <item x="1"/>
        <item x="9"/>
        <item x="3"/>
        <item x="6"/>
        <item x="10"/>
        <item x="7"/>
        <item x="8"/>
        <item x="5"/>
        <item x="2"/>
        <item t="default"/>
      </items>
    </pivotField>
    <pivotField axis="axisRow" showAll="0">
      <items count="31">
        <item x="17"/>
        <item x="22"/>
        <item x="12"/>
        <item x="13"/>
        <item x="1"/>
        <item x="0"/>
        <item x="16"/>
        <item x="10"/>
        <item x="21"/>
        <item x="6"/>
        <item x="7"/>
        <item x="8"/>
        <item x="11"/>
        <item x="25"/>
        <item x="29"/>
        <item x="3"/>
        <item x="9"/>
        <item x="14"/>
        <item x="28"/>
        <item x="23"/>
        <item x="19"/>
        <item x="15"/>
        <item x="20"/>
        <item x="18"/>
        <item x="4"/>
        <item x="5"/>
        <item x="26"/>
        <item x="24"/>
        <item x="2"/>
        <item x="27"/>
        <item t="default"/>
      </items>
    </pivotField>
    <pivotField showAll="0"/>
    <pivotField showAll="0"/>
    <pivotField showAll="0"/>
    <pivotField showAll="0"/>
    <pivotField dataField="1" numFmtId="1" showAll="0"/>
    <pivotField axis="axisPage" showAll="0">
      <items count="13">
        <item x="0"/>
        <item x="1"/>
        <item x="2"/>
        <item x="3"/>
        <item x="4"/>
        <item x="5"/>
        <item x="6"/>
        <item x="7"/>
        <item x="8"/>
        <item x="9"/>
        <item x="10"/>
        <item x="11"/>
        <item t="default"/>
      </items>
    </pivotField>
    <pivotField axis="axisCol" showAll="0">
      <items count="4">
        <item x="1"/>
        <item x="2"/>
        <item h="1" x="0"/>
        <item t="default"/>
      </items>
    </pivotField>
  </pivotFields>
  <rowFields count="2">
    <field x="1"/>
    <field x="2"/>
  </rowFields>
  <rowItems count="42">
    <i>
      <x/>
    </i>
    <i r="1">
      <x v="5"/>
    </i>
    <i>
      <x v="1"/>
    </i>
    <i r="1">
      <x v="7"/>
    </i>
    <i r="1">
      <x v="16"/>
    </i>
    <i r="1">
      <x v="17"/>
    </i>
    <i r="1">
      <x v="21"/>
    </i>
    <i>
      <x v="2"/>
    </i>
    <i r="1">
      <x v="4"/>
    </i>
    <i r="1">
      <x v="15"/>
    </i>
    <i r="1">
      <x v="28"/>
    </i>
    <i>
      <x v="3"/>
    </i>
    <i r="1">
      <x v="8"/>
    </i>
    <i>
      <x v="4"/>
    </i>
    <i r="1">
      <x/>
    </i>
    <i r="1">
      <x v="9"/>
    </i>
    <i r="1">
      <x v="10"/>
    </i>
    <i r="1">
      <x v="11"/>
    </i>
    <i>
      <x v="5"/>
    </i>
    <i r="1">
      <x v="1"/>
    </i>
    <i r="1">
      <x v="2"/>
    </i>
    <i r="1">
      <x v="3"/>
    </i>
    <i r="1">
      <x v="19"/>
    </i>
    <i>
      <x v="6"/>
    </i>
    <i r="1">
      <x v="13"/>
    </i>
    <i r="1">
      <x v="18"/>
    </i>
    <i r="1">
      <x v="26"/>
    </i>
    <i r="1">
      <x v="27"/>
    </i>
    <i r="1">
      <x v="29"/>
    </i>
    <i>
      <x v="7"/>
    </i>
    <i r="1">
      <x v="6"/>
    </i>
    <i>
      <x v="8"/>
    </i>
    <i r="1">
      <x v="20"/>
    </i>
    <i r="1">
      <x v="22"/>
    </i>
    <i r="1">
      <x v="23"/>
    </i>
    <i>
      <x v="9"/>
    </i>
    <i r="1">
      <x v="12"/>
    </i>
    <i r="1">
      <x v="14"/>
    </i>
    <i>
      <x v="10"/>
    </i>
    <i r="1">
      <x v="24"/>
    </i>
    <i r="1">
      <x v="25"/>
    </i>
    <i t="grand">
      <x/>
    </i>
  </rowItems>
  <colFields count="2">
    <field x="0"/>
    <field x="9"/>
  </colFields>
  <colItems count="10">
    <i>
      <x/>
      <x/>
    </i>
    <i r="1">
      <x v="1"/>
    </i>
    <i t="default">
      <x/>
    </i>
    <i>
      <x v="1"/>
      <x/>
    </i>
    <i r="1">
      <x v="1"/>
    </i>
    <i t="default">
      <x v="1"/>
    </i>
    <i>
      <x v="2"/>
      <x/>
    </i>
    <i r="1">
      <x v="1"/>
    </i>
    <i t="default">
      <x v="2"/>
    </i>
    <i t="grand">
      <x/>
    </i>
  </colItems>
  <pageFields count="1">
    <pageField fld="8" hier="-1"/>
  </pageFields>
  <dataFields count="1">
    <dataField name="Sum of value_conv"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75" dT="2025-12-12T14:42:09.13" personId="{39B5D5ED-2C37-47B0-A341-06CF4537BEEE}" id="{38CE1A80-5918-4DA7-A11B-2278C9781DDC}">
    <text>To be checked if not double counting!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openxmlformats.org/officeDocument/2006/relationships/hyperlink" Target="https://worldsteel.org/data/world-steel-in-figures/" TargetMode="External"/><Relationship Id="rId13" Type="http://schemas.openxmlformats.org/officeDocument/2006/relationships/hyperlink" Target="https://www.yara.com/investor-relations/reports-presentations/" TargetMode="External"/><Relationship Id="rId18" Type="http://schemas.openxmlformats.org/officeDocument/2006/relationships/hyperlink" Target="https://www.mineralproducts.org/Publications.aspx" TargetMode="External"/><Relationship Id="rId26" Type="http://schemas.openxmlformats.org/officeDocument/2006/relationships/hyperlink" Target="https://www.concawe.eu/refineries-map/" TargetMode="External"/><Relationship Id="rId3" Type="http://schemas.openxmlformats.org/officeDocument/2006/relationships/hyperlink" Target="https://www.usgs.gov/centers/national-minerals-information-center/nitrogen-statistics-and-information" TargetMode="External"/><Relationship Id="rId21" Type="http://schemas.openxmlformats.org/officeDocument/2006/relationships/hyperlink" Target="https://www.bafu.admin.ch/dam/en/sd-web/BmHqmk5j6KBe/statistik_getraenkeverpackungen_2023.pdf" TargetMode="External"/><Relationship Id="rId7" Type="http://schemas.openxmlformats.org/officeDocument/2006/relationships/hyperlink" Target="https://worldsteel.org/data/world-steel-in-figures/" TargetMode="External"/><Relationship Id="rId12" Type="http://schemas.openxmlformats.org/officeDocument/2006/relationships/hyperlink" Target="https://www.cfindustries.com/reports" TargetMode="External"/><Relationship Id="rId17" Type="http://schemas.openxmlformats.org/officeDocument/2006/relationships/hyperlink" Target="https://www.bgs.ac.uk/mineralsuk/statistics/uk/" TargetMode="External"/><Relationship Id="rId25" Type="http://schemas.openxmlformats.org/officeDocument/2006/relationships/hyperlink" Target="https://www.chlorineindustryreview.com/" TargetMode="External"/><Relationship Id="rId2" Type="http://schemas.openxmlformats.org/officeDocument/2006/relationships/hyperlink" Target="https://www.cemsuisse.ch/jahresberichte/" TargetMode="External"/><Relationship Id="rId16" Type="http://schemas.openxmlformats.org/officeDocument/2006/relationships/hyperlink" Target="https://www.sement.heidelbergmaterials.no/en" TargetMode="External"/><Relationship Id="rId20" Type="http://schemas.openxmlformats.org/officeDocument/2006/relationships/hyperlink" Target="https://assets.publishing.service.gov.uk/media/5a823d8640f0b6230269b966/glass-decarbonisation-action-plan.pdf" TargetMode="External"/><Relationship Id="rId29" Type="http://schemas.openxmlformats.org/officeDocument/2006/relationships/hyperlink" Target="https://www.usgs.gov/centers/national-minerals-information-center/europe-and-central-eurasia" TargetMode="External"/><Relationship Id="rId1" Type="http://schemas.openxmlformats.org/officeDocument/2006/relationships/hyperlink" Target="https://www.usgs.gov/centers/national-minerals-information-center/nitrogen-statistics-and-information" TargetMode="External"/><Relationship Id="rId6" Type="http://schemas.openxmlformats.org/officeDocument/2006/relationships/hyperlink" Target="https://swisssteel-group.com/content-media/documents/annual_report/Annual-Report-2023.pdf" TargetMode="External"/><Relationship Id="rId11" Type="http://schemas.openxmlformats.org/officeDocument/2006/relationships/hyperlink" Target="https://worldsteel.org/data/annual-production-steel-data/" TargetMode="External"/><Relationship Id="rId24" Type="http://schemas.openxmlformats.org/officeDocument/2006/relationships/hyperlink" Target="https://pubs.rsc.org/en/content/articlepdf/2024/ee/d3ee03064d" TargetMode="External"/><Relationship Id="rId5" Type="http://schemas.openxmlformats.org/officeDocument/2006/relationships/hyperlink" Target="https://worldsteel.org/wp-content/uploads/Steel-Statistical-Yearbook-2020-concise-version.pdf" TargetMode="External"/><Relationship Id="rId15" Type="http://schemas.openxmlformats.org/officeDocument/2006/relationships/hyperlink" Target="https://7-steelnordic.com/facts-figures/" TargetMode="External"/><Relationship Id="rId23" Type="http://schemas.openxmlformats.org/officeDocument/2006/relationships/hyperlink" Target="https://www.petrochemistry.eu/about-petrochemistry/petrochemicals-facts-and-figures/cracker-capacity/" TargetMode="External"/><Relationship Id="rId28" Type="http://schemas.openxmlformats.org/officeDocument/2006/relationships/hyperlink" Target="https://ercst.org/wp-content/uploads/2021/08/The-aluminium-value-chain-and-implications-for-CBAM-design.pdf" TargetMode="External"/><Relationship Id="rId10" Type="http://schemas.openxmlformats.org/officeDocument/2006/relationships/hyperlink" Target="https://www.uksteel.org/reports-and-publications" TargetMode="External"/><Relationship Id="rId19" Type="http://schemas.openxmlformats.org/officeDocument/2006/relationships/hyperlink" Target="https://www.wrap.ngo/resources/report/glass-flow-2025-glass-packaging-flow-data-report" TargetMode="External"/><Relationship Id="rId31" Type="http://schemas.openxmlformats.org/officeDocument/2006/relationships/printerSettings" Target="../printerSettings/printerSettings2.bin"/><Relationship Id="rId4" Type="http://schemas.openxmlformats.org/officeDocument/2006/relationships/hyperlink" Target="https://www.fao.org/faostat/en/" TargetMode="External"/><Relationship Id="rId9" Type="http://schemas.openxmlformats.org/officeDocument/2006/relationships/hyperlink" Target="https://swisssteel-group.com/content-media/documents/annual_report/2024/Annual-Report-2024.pdf" TargetMode="External"/><Relationship Id="rId14" Type="http://schemas.openxmlformats.org/officeDocument/2006/relationships/hyperlink" Target="https://www.seco.admin.ch/seco/en/home/Publikationen_Dienstleistungen/Publikationen_und_Formulare/Strukturwandel_Wachstum/Branchenanalysen/fertilizers-and-pesticides-price-differences-between-switzerland.html" TargetMode="External"/><Relationship Id="rId22" Type="http://schemas.openxmlformats.org/officeDocument/2006/relationships/hyperlink" Target="https://www.wko.at/wien/industrie/glasindustrie/statistical-report-glass-alliance-europe.pdf" TargetMode="External"/><Relationship Id="rId27" Type="http://schemas.openxmlformats.org/officeDocument/2006/relationships/hyperlink" Target="https://www.usgs.gov/centers/national-minerals-information-center/aluminum-statistics-and-information" TargetMode="External"/><Relationship Id="rId30" Type="http://schemas.openxmlformats.org/officeDocument/2006/relationships/hyperlink" Target="https://github.com/PyPSA/pypsa-eur"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9C95E-1CD6-4E1D-9D8E-73F3A971DBD6}">
  <dimension ref="A1:M170"/>
  <sheetViews>
    <sheetView tabSelected="1" workbookViewId="0">
      <pane ySplit="1" topLeftCell="A2" activePane="bottomLeft" state="frozen"/>
      <selection pane="bottomLeft" activeCell="A170" sqref="A2:XFD170"/>
    </sheetView>
  </sheetViews>
  <sheetFormatPr defaultRowHeight="14.45"/>
  <cols>
    <col min="1" max="1" width="16.7109375" customWidth="1"/>
    <col min="2" max="2" width="18.5703125" bestFit="1" customWidth="1"/>
    <col min="3" max="3" width="20.85546875" bestFit="1" customWidth="1"/>
    <col min="4" max="4" width="13.5703125" customWidth="1"/>
    <col min="5" max="5" width="23.42578125" customWidth="1"/>
    <col min="6" max="6" width="9.42578125" bestFit="1" customWidth="1"/>
    <col min="7" max="7" width="9.42578125" customWidth="1"/>
    <col min="8" max="8" width="15" customWidth="1"/>
    <col min="9" max="9" width="11.5703125" customWidth="1"/>
    <col min="10" max="10" width="22.140625" customWidth="1"/>
    <col min="11" max="11" width="21.28515625" customWidth="1"/>
    <col min="12" max="12" width="16.85546875" customWidth="1"/>
    <col min="13" max="13" width="76.140625" customWidth="1"/>
  </cols>
  <sheetData>
    <row r="1" spans="1:13" ht="15">
      <c r="A1" s="1" t="s">
        <v>0</v>
      </c>
      <c r="B1" s="1" t="s">
        <v>1</v>
      </c>
      <c r="C1" s="1" t="s">
        <v>2</v>
      </c>
      <c r="D1" s="1" t="s">
        <v>3</v>
      </c>
      <c r="E1" s="1" t="s">
        <v>4</v>
      </c>
      <c r="F1" s="1" t="s">
        <v>5</v>
      </c>
      <c r="G1" s="1" t="s">
        <v>6</v>
      </c>
      <c r="H1" s="1" t="s">
        <v>7</v>
      </c>
      <c r="I1" s="1" t="s">
        <v>8</v>
      </c>
      <c r="J1" s="1" t="s">
        <v>9</v>
      </c>
      <c r="K1" s="1" t="s">
        <v>10</v>
      </c>
      <c r="L1" s="1" t="s">
        <v>11</v>
      </c>
      <c r="M1" s="1" t="s">
        <v>12</v>
      </c>
    </row>
    <row r="2" spans="1:13" s="25" customFormat="1">
      <c r="A2" s="25" t="s">
        <v>13</v>
      </c>
      <c r="B2" s="25" t="s">
        <v>14</v>
      </c>
      <c r="C2" s="25" t="s">
        <v>14</v>
      </c>
      <c r="D2" s="25" t="s">
        <v>15</v>
      </c>
      <c r="E2" s="25" t="s">
        <v>16</v>
      </c>
      <c r="F2" s="25">
        <v>4219</v>
      </c>
      <c r="H2" s="26">
        <f>F2</f>
        <v>4219</v>
      </c>
      <c r="I2" s="25">
        <v>2015</v>
      </c>
      <c r="K2" s="25" t="s">
        <v>17</v>
      </c>
      <c r="M2" s="25" t="s">
        <v>18</v>
      </c>
    </row>
    <row r="3" spans="1:13" s="25" customFormat="1">
      <c r="A3" s="25" t="s">
        <v>13</v>
      </c>
      <c r="B3" s="25" t="s">
        <v>14</v>
      </c>
      <c r="C3" s="25" t="s">
        <v>14</v>
      </c>
      <c r="D3" s="25" t="s">
        <v>15</v>
      </c>
      <c r="E3" s="25" t="s">
        <v>16</v>
      </c>
      <c r="F3" s="25">
        <v>4397</v>
      </c>
      <c r="H3" s="26">
        <f t="shared" ref="H3:H11" si="0">F3</f>
        <v>4397</v>
      </c>
      <c r="I3" s="25">
        <v>2016</v>
      </c>
      <c r="K3" s="25" t="s">
        <v>17</v>
      </c>
      <c r="M3" s="25" t="s">
        <v>18</v>
      </c>
    </row>
    <row r="4" spans="1:13" s="25" customFormat="1">
      <c r="A4" s="25" t="s">
        <v>13</v>
      </c>
      <c r="B4" s="25" t="s">
        <v>14</v>
      </c>
      <c r="C4" s="25" t="s">
        <v>14</v>
      </c>
      <c r="D4" s="25" t="s">
        <v>15</v>
      </c>
      <c r="E4" s="25" t="s">
        <v>16</v>
      </c>
      <c r="F4" s="25">
        <v>4272</v>
      </c>
      <c r="H4" s="26">
        <f t="shared" si="0"/>
        <v>4272</v>
      </c>
      <c r="I4" s="25">
        <v>2017</v>
      </c>
      <c r="K4" s="25" t="s">
        <v>17</v>
      </c>
      <c r="M4" s="25" t="s">
        <v>18</v>
      </c>
    </row>
    <row r="5" spans="1:13" s="25" customFormat="1">
      <c r="A5" s="25" t="s">
        <v>13</v>
      </c>
      <c r="B5" s="25" t="s">
        <v>14</v>
      </c>
      <c r="C5" s="25" t="s">
        <v>14</v>
      </c>
      <c r="D5" s="25" t="s">
        <v>15</v>
      </c>
      <c r="E5" s="25" t="s">
        <v>16</v>
      </c>
      <c r="F5" s="25">
        <v>4289</v>
      </c>
      <c r="H5" s="26">
        <f t="shared" si="0"/>
        <v>4289</v>
      </c>
      <c r="I5" s="25">
        <v>2018</v>
      </c>
      <c r="K5" s="25" t="s">
        <v>17</v>
      </c>
      <c r="M5" s="25" t="s">
        <v>18</v>
      </c>
    </row>
    <row r="6" spans="1:13" s="25" customFormat="1">
      <c r="A6" s="25" t="s">
        <v>13</v>
      </c>
      <c r="B6" s="25" t="s">
        <v>14</v>
      </c>
      <c r="C6" s="25" t="s">
        <v>14</v>
      </c>
      <c r="D6" s="25" t="s">
        <v>15</v>
      </c>
      <c r="E6" s="25" t="s">
        <v>16</v>
      </c>
      <c r="F6" s="25">
        <v>4215</v>
      </c>
      <c r="H6" s="26">
        <f t="shared" si="0"/>
        <v>4215</v>
      </c>
      <c r="I6" s="25">
        <v>2019</v>
      </c>
      <c r="K6" s="25" t="s">
        <v>17</v>
      </c>
      <c r="M6" s="25" t="s">
        <v>18</v>
      </c>
    </row>
    <row r="7" spans="1:13" s="25" customFormat="1">
      <c r="A7" s="25" t="s">
        <v>13</v>
      </c>
      <c r="B7" s="25" t="s">
        <v>14</v>
      </c>
      <c r="C7" s="25" t="s">
        <v>14</v>
      </c>
      <c r="D7" s="25" t="s">
        <v>15</v>
      </c>
      <c r="E7" s="25" t="s">
        <v>16</v>
      </c>
      <c r="F7" s="25">
        <v>4177</v>
      </c>
      <c r="H7" s="26">
        <f t="shared" si="0"/>
        <v>4177</v>
      </c>
      <c r="I7" s="25">
        <v>2020</v>
      </c>
      <c r="K7" s="25" t="s">
        <v>17</v>
      </c>
      <c r="M7" s="25" t="s">
        <v>18</v>
      </c>
    </row>
    <row r="8" spans="1:13" s="25" customFormat="1">
      <c r="A8" s="25" t="s">
        <v>13</v>
      </c>
      <c r="B8" s="25" t="s">
        <v>14</v>
      </c>
      <c r="C8" s="25" t="s">
        <v>14</v>
      </c>
      <c r="D8" s="25" t="s">
        <v>15</v>
      </c>
      <c r="E8" s="25" t="s">
        <v>16</v>
      </c>
      <c r="F8" s="25">
        <v>4146</v>
      </c>
      <c r="H8" s="26">
        <f t="shared" si="0"/>
        <v>4146</v>
      </c>
      <c r="I8" s="25">
        <v>2021</v>
      </c>
      <c r="K8" s="25" t="s">
        <v>17</v>
      </c>
      <c r="M8" s="25" t="s">
        <v>18</v>
      </c>
    </row>
    <row r="9" spans="1:13" s="25" customFormat="1">
      <c r="A9" s="25" t="s">
        <v>13</v>
      </c>
      <c r="B9" s="25" t="s">
        <v>14</v>
      </c>
      <c r="C9" s="25" t="s">
        <v>14</v>
      </c>
      <c r="D9" s="25" t="s">
        <v>15</v>
      </c>
      <c r="E9" s="25" t="s">
        <v>16</v>
      </c>
      <c r="F9" s="25">
        <v>4146</v>
      </c>
      <c r="H9" s="26">
        <f t="shared" si="0"/>
        <v>4146</v>
      </c>
      <c r="I9" s="25">
        <v>2022</v>
      </c>
      <c r="K9" s="25" t="s">
        <v>17</v>
      </c>
      <c r="M9" s="25" t="s">
        <v>18</v>
      </c>
    </row>
    <row r="10" spans="1:13" s="25" customFormat="1">
      <c r="A10" s="25" t="s">
        <v>13</v>
      </c>
      <c r="B10" s="25" t="s">
        <v>14</v>
      </c>
      <c r="C10" s="25" t="s">
        <v>14</v>
      </c>
      <c r="D10" s="25" t="s">
        <v>15</v>
      </c>
      <c r="E10" s="25" t="s">
        <v>16</v>
      </c>
      <c r="F10" s="25">
        <v>3730</v>
      </c>
      <c r="H10" s="26">
        <f t="shared" si="0"/>
        <v>3730</v>
      </c>
      <c r="I10" s="25">
        <v>2023</v>
      </c>
      <c r="K10" s="25" t="s">
        <v>17</v>
      </c>
      <c r="M10" s="25" t="s">
        <v>18</v>
      </c>
    </row>
    <row r="11" spans="1:13" s="25" customFormat="1">
      <c r="A11" s="25" t="s">
        <v>13</v>
      </c>
      <c r="B11" s="25" t="s">
        <v>14</v>
      </c>
      <c r="C11" s="25" t="s">
        <v>14</v>
      </c>
      <c r="D11" s="25" t="s">
        <v>15</v>
      </c>
      <c r="E11" s="25" t="s">
        <v>16</v>
      </c>
      <c r="F11" s="25">
        <v>3560</v>
      </c>
      <c r="H11" s="26">
        <f t="shared" si="0"/>
        <v>3560</v>
      </c>
      <c r="I11" s="25">
        <v>2024</v>
      </c>
      <c r="J11" s="25" t="s">
        <v>19</v>
      </c>
      <c r="K11" s="25" t="s">
        <v>17</v>
      </c>
      <c r="M11" s="25" t="s">
        <v>18</v>
      </c>
    </row>
    <row r="12" spans="1:13" s="25" customFormat="1">
      <c r="A12" s="25" t="s">
        <v>13</v>
      </c>
      <c r="B12" s="25" t="s">
        <v>20</v>
      </c>
      <c r="C12" s="25" t="s">
        <v>21</v>
      </c>
      <c r="D12" s="25" t="s">
        <v>15</v>
      </c>
      <c r="E12" s="25" t="s">
        <v>16</v>
      </c>
      <c r="F12" s="25">
        <v>14</v>
      </c>
      <c r="G12" s="25">
        <v>1</v>
      </c>
      <c r="H12" s="26">
        <f>F12*'conversion factors'!$B$17</f>
        <v>17</v>
      </c>
      <c r="I12" s="25">
        <v>2018</v>
      </c>
      <c r="K12" s="25" t="s">
        <v>22</v>
      </c>
      <c r="M12" s="25" t="s">
        <v>23</v>
      </c>
    </row>
    <row r="13" spans="1:13" s="25" customFormat="1">
      <c r="A13" s="25" t="s">
        <v>13</v>
      </c>
      <c r="B13" s="25" t="s">
        <v>20</v>
      </c>
      <c r="C13" s="25" t="s">
        <v>21</v>
      </c>
      <c r="D13" s="25" t="s">
        <v>15</v>
      </c>
      <c r="E13" s="25" t="s">
        <v>16</v>
      </c>
      <c r="F13" s="25">
        <v>16</v>
      </c>
      <c r="G13" s="25">
        <v>1</v>
      </c>
      <c r="H13" s="26">
        <f>F13*'conversion factors'!$B$17</f>
        <v>19.428571428571427</v>
      </c>
      <c r="I13" s="25">
        <v>2021</v>
      </c>
      <c r="K13" s="25" t="s">
        <v>24</v>
      </c>
      <c r="M13" s="25" t="s">
        <v>23</v>
      </c>
    </row>
    <row r="14" spans="1:13" s="25" customFormat="1" ht="18.95" customHeight="1">
      <c r="A14" s="25" t="s">
        <v>13</v>
      </c>
      <c r="B14" s="25" t="s">
        <v>20</v>
      </c>
      <c r="C14" s="25" t="s">
        <v>21</v>
      </c>
      <c r="D14" s="25" t="s">
        <v>15</v>
      </c>
      <c r="E14" s="25" t="s">
        <v>16</v>
      </c>
      <c r="F14" s="25">
        <v>14</v>
      </c>
      <c r="G14" s="25">
        <v>1</v>
      </c>
      <c r="H14" s="26">
        <f>F14*'conversion factors'!$B$17</f>
        <v>17</v>
      </c>
      <c r="I14" s="25">
        <v>2023</v>
      </c>
      <c r="J14" s="25" t="s">
        <v>19</v>
      </c>
      <c r="K14" s="25" t="s">
        <v>24</v>
      </c>
      <c r="M14" s="25" t="s">
        <v>23</v>
      </c>
    </row>
    <row r="15" spans="1:13" s="25" customFormat="1">
      <c r="A15" s="25" t="s">
        <v>13</v>
      </c>
      <c r="B15" s="25" t="s">
        <v>20</v>
      </c>
      <c r="C15" s="25" t="s">
        <v>25</v>
      </c>
      <c r="D15" s="25" t="s">
        <v>26</v>
      </c>
      <c r="E15" s="25" t="s">
        <v>16</v>
      </c>
      <c r="F15" s="25">
        <v>0</v>
      </c>
      <c r="G15" s="25">
        <v>1</v>
      </c>
      <c r="H15" s="26">
        <f>F15*'conversion factors'!$B$4</f>
        <v>0</v>
      </c>
      <c r="I15" s="25">
        <v>2023</v>
      </c>
      <c r="J15" s="25" t="s">
        <v>19</v>
      </c>
      <c r="K15" s="25" t="s">
        <v>27</v>
      </c>
      <c r="L15" s="25" t="s">
        <v>28</v>
      </c>
      <c r="M15" s="25" t="s">
        <v>29</v>
      </c>
    </row>
    <row r="16" spans="1:13" s="25" customFormat="1">
      <c r="A16" s="25" t="s">
        <v>13</v>
      </c>
      <c r="B16" s="25" t="s">
        <v>20</v>
      </c>
      <c r="C16" s="25" t="s">
        <v>30</v>
      </c>
      <c r="D16" s="25" t="s">
        <v>26</v>
      </c>
      <c r="E16" s="25" t="s">
        <v>16</v>
      </c>
      <c r="F16" s="25">
        <v>0</v>
      </c>
      <c r="G16" s="25">
        <v>1</v>
      </c>
      <c r="H16" s="26">
        <f>F16*'conversion factors'!$B$4</f>
        <v>0</v>
      </c>
      <c r="I16" s="25">
        <v>2023</v>
      </c>
      <c r="J16" s="25" t="s">
        <v>19</v>
      </c>
      <c r="K16" s="25" t="s">
        <v>27</v>
      </c>
      <c r="L16" s="25" t="s">
        <v>28</v>
      </c>
      <c r="M16" s="25" t="s">
        <v>29</v>
      </c>
    </row>
    <row r="17" spans="1:13" s="25" customFormat="1" ht="16.5" customHeight="1">
      <c r="A17" s="25" t="s">
        <v>13</v>
      </c>
      <c r="B17" s="25" t="s">
        <v>31</v>
      </c>
      <c r="C17" s="25" t="s">
        <v>32</v>
      </c>
      <c r="D17" s="25" t="s">
        <v>26</v>
      </c>
      <c r="E17" s="25" t="s">
        <v>16</v>
      </c>
      <c r="F17" s="25">
        <v>0</v>
      </c>
      <c r="G17" s="25">
        <v>1</v>
      </c>
      <c r="H17" s="26">
        <f>F17*'conversion factors'!$B$4</f>
        <v>0</v>
      </c>
      <c r="I17" s="25">
        <v>2018</v>
      </c>
      <c r="J17" s="25" t="s">
        <v>19</v>
      </c>
      <c r="K17" s="25" t="s">
        <v>33</v>
      </c>
      <c r="M17" s="25" t="s">
        <v>34</v>
      </c>
    </row>
    <row r="18" spans="1:13" s="25" customFormat="1">
      <c r="A18" s="25" t="s">
        <v>13</v>
      </c>
      <c r="B18" s="25" t="s">
        <v>31</v>
      </c>
      <c r="C18" s="25" t="s">
        <v>35</v>
      </c>
      <c r="D18" s="25" t="s">
        <v>15</v>
      </c>
      <c r="E18" s="25" t="s">
        <v>16</v>
      </c>
      <c r="F18" s="25">
        <v>1475</v>
      </c>
      <c r="H18" s="26">
        <f t="shared" ref="H18:H37" si="1">F18</f>
        <v>1475</v>
      </c>
      <c r="I18" s="25">
        <v>2015</v>
      </c>
      <c r="K18" s="25" t="s">
        <v>33</v>
      </c>
      <c r="M18" s="25" t="s">
        <v>36</v>
      </c>
    </row>
    <row r="19" spans="1:13" s="25" customFormat="1">
      <c r="A19" s="25" t="s">
        <v>13</v>
      </c>
      <c r="B19" s="25" t="s">
        <v>31</v>
      </c>
      <c r="C19" s="25" t="s">
        <v>35</v>
      </c>
      <c r="D19" s="25" t="s">
        <v>15</v>
      </c>
      <c r="E19" s="25" t="s">
        <v>16</v>
      </c>
      <c r="F19" s="25">
        <v>1500</v>
      </c>
      <c r="H19" s="26">
        <f t="shared" si="1"/>
        <v>1500</v>
      </c>
      <c r="I19" s="25">
        <v>2016</v>
      </c>
      <c r="K19" s="25" t="s">
        <v>33</v>
      </c>
      <c r="M19" s="25" t="s">
        <v>36</v>
      </c>
    </row>
    <row r="20" spans="1:13" s="25" customFormat="1">
      <c r="A20" s="25" t="s">
        <v>13</v>
      </c>
      <c r="B20" s="25" t="s">
        <v>31</v>
      </c>
      <c r="C20" s="25" t="s">
        <v>35</v>
      </c>
      <c r="D20" s="25" t="s">
        <v>15</v>
      </c>
      <c r="E20" s="25" t="s">
        <v>16</v>
      </c>
      <c r="F20" s="25">
        <v>1450</v>
      </c>
      <c r="H20" s="26">
        <f t="shared" si="1"/>
        <v>1450</v>
      </c>
      <c r="I20" s="25">
        <v>2017</v>
      </c>
      <c r="K20" s="25" t="s">
        <v>33</v>
      </c>
      <c r="M20" s="25" t="s">
        <v>36</v>
      </c>
    </row>
    <row r="21" spans="1:13" s="25" customFormat="1">
      <c r="A21" s="25" t="s">
        <v>13</v>
      </c>
      <c r="B21" s="25" t="s">
        <v>31</v>
      </c>
      <c r="C21" s="25" t="s">
        <v>35</v>
      </c>
      <c r="D21" s="25" t="s">
        <v>15</v>
      </c>
      <c r="E21" s="25" t="s">
        <v>16</v>
      </c>
      <c r="F21" s="25">
        <v>1500</v>
      </c>
      <c r="H21" s="26">
        <f t="shared" si="1"/>
        <v>1500</v>
      </c>
      <c r="I21" s="25">
        <v>2018</v>
      </c>
      <c r="K21" s="25" t="s">
        <v>33</v>
      </c>
      <c r="M21" s="25" t="s">
        <v>36</v>
      </c>
    </row>
    <row r="22" spans="1:13" s="25" customFormat="1">
      <c r="A22" s="25" t="s">
        <v>13</v>
      </c>
      <c r="B22" s="25" t="s">
        <v>31</v>
      </c>
      <c r="C22" s="25" t="s">
        <v>35</v>
      </c>
      <c r="D22" s="25" t="s">
        <v>15</v>
      </c>
      <c r="E22" s="25" t="s">
        <v>16</v>
      </c>
      <c r="F22" s="25">
        <v>1930</v>
      </c>
      <c r="H22" s="26">
        <f t="shared" si="1"/>
        <v>1930</v>
      </c>
      <c r="I22" s="25">
        <v>2019</v>
      </c>
      <c r="K22" s="25" t="s">
        <v>37</v>
      </c>
      <c r="M22" s="25" t="s">
        <v>38</v>
      </c>
    </row>
    <row r="23" spans="1:13" s="25" customFormat="1">
      <c r="A23" s="25" t="s">
        <v>13</v>
      </c>
      <c r="B23" s="25" t="s">
        <v>31</v>
      </c>
      <c r="C23" s="25" t="s">
        <v>35</v>
      </c>
      <c r="D23" s="25" t="s">
        <v>15</v>
      </c>
      <c r="E23" s="25" t="s">
        <v>16</v>
      </c>
      <c r="F23" s="25">
        <v>1706</v>
      </c>
      <c r="H23" s="26">
        <f t="shared" si="1"/>
        <v>1706</v>
      </c>
      <c r="I23" s="25">
        <v>2020</v>
      </c>
      <c r="K23" s="25" t="s">
        <v>37</v>
      </c>
      <c r="M23" s="25" t="s">
        <v>39</v>
      </c>
    </row>
    <row r="24" spans="1:13" s="25" customFormat="1">
      <c r="A24" s="25" t="s">
        <v>13</v>
      </c>
      <c r="B24" s="25" t="s">
        <v>31</v>
      </c>
      <c r="C24" s="25" t="s">
        <v>35</v>
      </c>
      <c r="D24" s="25" t="s">
        <v>15</v>
      </c>
      <c r="E24" s="25" t="s">
        <v>16</v>
      </c>
      <c r="F24" s="25">
        <v>2113</v>
      </c>
      <c r="H24" s="26">
        <f t="shared" si="1"/>
        <v>2113</v>
      </c>
      <c r="I24" s="25">
        <v>2021</v>
      </c>
      <c r="K24" s="25" t="s">
        <v>37</v>
      </c>
      <c r="M24" s="25" t="s">
        <v>39</v>
      </c>
    </row>
    <row r="25" spans="1:13" s="25" customFormat="1">
      <c r="A25" s="25" t="s">
        <v>13</v>
      </c>
      <c r="B25" s="25" t="s">
        <v>31</v>
      </c>
      <c r="C25" s="25" t="s">
        <v>35</v>
      </c>
      <c r="D25" s="25" t="s">
        <v>15</v>
      </c>
      <c r="E25" s="25" t="s">
        <v>16</v>
      </c>
      <c r="F25" s="25">
        <v>1798</v>
      </c>
      <c r="H25" s="26">
        <f t="shared" si="1"/>
        <v>1798</v>
      </c>
      <c r="I25" s="25">
        <v>2022</v>
      </c>
      <c r="K25" s="25" t="s">
        <v>37</v>
      </c>
      <c r="M25" s="25" t="s">
        <v>39</v>
      </c>
    </row>
    <row r="26" spans="1:13" s="25" customFormat="1">
      <c r="A26" s="25" t="s">
        <v>13</v>
      </c>
      <c r="B26" s="25" t="s">
        <v>31</v>
      </c>
      <c r="C26" s="25" t="s">
        <v>35</v>
      </c>
      <c r="D26" s="25" t="s">
        <v>15</v>
      </c>
      <c r="E26" s="25" t="s">
        <v>16</v>
      </c>
      <c r="F26" s="25">
        <v>1543</v>
      </c>
      <c r="H26" s="26">
        <f t="shared" si="1"/>
        <v>1543</v>
      </c>
      <c r="I26" s="25">
        <v>2023</v>
      </c>
      <c r="K26" s="25" t="s">
        <v>37</v>
      </c>
      <c r="M26" s="25" t="s">
        <v>39</v>
      </c>
    </row>
    <row r="27" spans="1:13" s="25" customFormat="1">
      <c r="A27" s="25" t="s">
        <v>13</v>
      </c>
      <c r="B27" s="25" t="s">
        <v>31</v>
      </c>
      <c r="C27" s="25" t="s">
        <v>35</v>
      </c>
      <c r="D27" s="25" t="s">
        <v>15</v>
      </c>
      <c r="E27" s="25" t="s">
        <v>16</v>
      </c>
      <c r="F27" s="25">
        <v>1314</v>
      </c>
      <c r="H27" s="26">
        <f t="shared" si="1"/>
        <v>1314</v>
      </c>
      <c r="I27" s="25">
        <v>2024</v>
      </c>
      <c r="J27" s="25" t="s">
        <v>19</v>
      </c>
      <c r="K27" s="25" t="s">
        <v>40</v>
      </c>
      <c r="M27" s="25" t="s">
        <v>41</v>
      </c>
    </row>
    <row r="28" spans="1:13" s="25" customFormat="1">
      <c r="A28" s="25" t="s">
        <v>13</v>
      </c>
      <c r="B28" s="25" t="s">
        <v>42</v>
      </c>
      <c r="C28" s="25" t="s">
        <v>43</v>
      </c>
      <c r="D28" s="25" t="s">
        <v>15</v>
      </c>
      <c r="E28" s="25" t="s">
        <v>16</v>
      </c>
      <c r="F28" s="25">
        <v>169</v>
      </c>
      <c r="H28" s="26">
        <f t="shared" si="1"/>
        <v>169</v>
      </c>
      <c r="I28" s="25">
        <v>2023</v>
      </c>
      <c r="J28" s="25" t="s">
        <v>19</v>
      </c>
      <c r="K28" s="25" t="s">
        <v>44</v>
      </c>
      <c r="L28" s="25" t="s">
        <v>45</v>
      </c>
      <c r="M28" s="25" t="s">
        <v>46</v>
      </c>
    </row>
    <row r="29" spans="1:13" s="25" customFormat="1">
      <c r="A29" s="25" t="s">
        <v>13</v>
      </c>
      <c r="B29" s="25" t="s">
        <v>42</v>
      </c>
      <c r="C29" s="25" t="s">
        <v>47</v>
      </c>
      <c r="D29" s="25" t="s">
        <v>15</v>
      </c>
      <c r="E29" s="25" t="s">
        <v>16</v>
      </c>
      <c r="F29" s="25">
        <v>0</v>
      </c>
      <c r="H29" s="26">
        <f t="shared" si="1"/>
        <v>0</v>
      </c>
      <c r="I29" s="25">
        <v>2025</v>
      </c>
      <c r="J29" s="25" t="s">
        <v>19</v>
      </c>
      <c r="K29" s="25" t="s">
        <v>48</v>
      </c>
      <c r="L29" s="25" t="s">
        <v>45</v>
      </c>
      <c r="M29" s="25" t="s">
        <v>49</v>
      </c>
    </row>
    <row r="30" spans="1:13" s="25" customFormat="1">
      <c r="A30" s="25" t="s">
        <v>13</v>
      </c>
      <c r="B30" s="25" t="s">
        <v>42</v>
      </c>
      <c r="C30" s="25" t="s">
        <v>50</v>
      </c>
      <c r="D30" s="25" t="s">
        <v>15</v>
      </c>
      <c r="E30" s="25" t="s">
        <v>16</v>
      </c>
      <c r="F30" s="25">
        <v>0</v>
      </c>
      <c r="H30" s="26">
        <f t="shared" si="1"/>
        <v>0</v>
      </c>
      <c r="I30" s="25">
        <v>2025</v>
      </c>
      <c r="J30" s="25" t="s">
        <v>19</v>
      </c>
      <c r="K30" s="25" t="s">
        <v>48</v>
      </c>
      <c r="L30" s="25" t="s">
        <v>45</v>
      </c>
      <c r="M30" s="25" t="s">
        <v>51</v>
      </c>
    </row>
    <row r="31" spans="1:13" s="25" customFormat="1">
      <c r="A31" s="25" t="s">
        <v>13</v>
      </c>
      <c r="B31" s="25" t="s">
        <v>52</v>
      </c>
      <c r="C31" s="25" t="s">
        <v>53</v>
      </c>
      <c r="D31" s="25" t="s">
        <v>15</v>
      </c>
      <c r="E31" s="25" t="s">
        <v>16</v>
      </c>
      <c r="F31" s="25">
        <v>0</v>
      </c>
      <c r="H31" s="26">
        <f t="shared" si="1"/>
        <v>0</v>
      </c>
      <c r="I31" s="25">
        <v>2026</v>
      </c>
      <c r="J31" s="25" t="s">
        <v>19</v>
      </c>
      <c r="K31" s="25" t="s">
        <v>54</v>
      </c>
      <c r="L31" s="25" t="s">
        <v>48</v>
      </c>
      <c r="M31" s="25" t="s">
        <v>55</v>
      </c>
    </row>
    <row r="32" spans="1:13" s="25" customFormat="1">
      <c r="A32" s="25" t="s">
        <v>13</v>
      </c>
      <c r="B32" s="25" t="s">
        <v>52</v>
      </c>
      <c r="C32" s="25" t="s">
        <v>56</v>
      </c>
      <c r="D32" s="25" t="s">
        <v>26</v>
      </c>
      <c r="E32" s="25" t="s">
        <v>16</v>
      </c>
      <c r="F32" s="25">
        <v>47</v>
      </c>
      <c r="G32" s="25">
        <v>1</v>
      </c>
      <c r="H32" s="26">
        <f>F32*'conversion factors'!$B$6</f>
        <v>32.335999999999999</v>
      </c>
      <c r="I32" s="25">
        <v>2018</v>
      </c>
      <c r="K32" s="25" t="s">
        <v>57</v>
      </c>
    </row>
    <row r="33" spans="1:13" s="25" customFormat="1">
      <c r="A33" s="25" t="s">
        <v>13</v>
      </c>
      <c r="B33" s="25" t="s">
        <v>52</v>
      </c>
      <c r="C33" s="25" t="s">
        <v>56</v>
      </c>
      <c r="D33" s="25" t="s">
        <v>26</v>
      </c>
      <c r="E33" s="25" t="s">
        <v>16</v>
      </c>
      <c r="F33" s="25">
        <v>47</v>
      </c>
      <c r="G33" s="25">
        <v>1</v>
      </c>
      <c r="H33" s="26">
        <f>F33*'conversion factors'!$B$6</f>
        <v>32.335999999999999</v>
      </c>
      <c r="I33" s="25">
        <v>2025</v>
      </c>
      <c r="J33" s="25" t="s">
        <v>19</v>
      </c>
      <c r="K33" s="25" t="s">
        <v>57</v>
      </c>
    </row>
    <row r="34" spans="1:13" s="25" customFormat="1">
      <c r="A34" s="25" t="s">
        <v>13</v>
      </c>
      <c r="B34" s="25" t="s">
        <v>58</v>
      </c>
      <c r="C34" s="25" t="s">
        <v>59</v>
      </c>
      <c r="D34" s="25" t="s">
        <v>26</v>
      </c>
      <c r="E34" s="25" t="s">
        <v>16</v>
      </c>
      <c r="F34" s="25">
        <v>3400</v>
      </c>
      <c r="G34" s="25">
        <v>1</v>
      </c>
      <c r="H34" s="26">
        <f>F34*'conversion factors'!$B$7*'conversion factors'!$B$12</f>
        <v>2169.1999999999998</v>
      </c>
      <c r="I34" s="25">
        <v>2018</v>
      </c>
      <c r="K34" s="25" t="s">
        <v>60</v>
      </c>
      <c r="M34" s="25" t="s">
        <v>61</v>
      </c>
    </row>
    <row r="35" spans="1:13" s="25" customFormat="1">
      <c r="A35" s="25" t="s">
        <v>13</v>
      </c>
      <c r="B35" s="25" t="s">
        <v>58</v>
      </c>
      <c r="C35" s="25" t="s">
        <v>59</v>
      </c>
      <c r="D35" s="25" t="s">
        <v>26</v>
      </c>
      <c r="E35" s="25" t="s">
        <v>16</v>
      </c>
      <c r="F35" s="25">
        <v>3400</v>
      </c>
      <c r="G35" s="25">
        <v>1</v>
      </c>
      <c r="H35" s="26">
        <f>F35*'conversion factors'!$B$7*'conversion factors'!$B$12</f>
        <v>2169.1999999999998</v>
      </c>
      <c r="I35" s="25">
        <v>2021</v>
      </c>
      <c r="K35" s="25" t="s">
        <v>60</v>
      </c>
    </row>
    <row r="36" spans="1:13" s="25" customFormat="1">
      <c r="A36" s="25" t="s">
        <v>13</v>
      </c>
      <c r="B36" s="25" t="s">
        <v>58</v>
      </c>
      <c r="C36" s="25" t="s">
        <v>59</v>
      </c>
      <c r="D36" s="25" t="s">
        <v>26</v>
      </c>
      <c r="E36" s="25" t="s">
        <v>16</v>
      </c>
      <c r="F36" s="25">
        <v>3230</v>
      </c>
      <c r="G36" s="25">
        <v>1</v>
      </c>
      <c r="H36" s="26">
        <f>F36*'conversion factors'!$B$7*'conversion factors'!$B$12</f>
        <v>2060.7400000000002</v>
      </c>
      <c r="I36" s="25">
        <v>2025</v>
      </c>
      <c r="J36" s="25" t="s">
        <v>19</v>
      </c>
      <c r="K36" s="25" t="s">
        <v>60</v>
      </c>
    </row>
    <row r="37" spans="1:13" s="25" customFormat="1">
      <c r="A37" s="25" t="s">
        <v>62</v>
      </c>
      <c r="B37" s="25" t="s">
        <v>14</v>
      </c>
      <c r="C37" s="27" t="s">
        <v>14</v>
      </c>
      <c r="D37" s="25" t="s">
        <v>15</v>
      </c>
      <c r="E37" s="25" t="s">
        <v>16</v>
      </c>
      <c r="F37" s="25">
        <f>1200+500</f>
        <v>1700</v>
      </c>
      <c r="H37" s="26">
        <f t="shared" si="1"/>
        <v>1700</v>
      </c>
      <c r="I37" s="25">
        <v>2025</v>
      </c>
      <c r="J37" s="25" t="s">
        <v>19</v>
      </c>
      <c r="K37" s="25" t="s">
        <v>63</v>
      </c>
      <c r="L37" s="25" t="s">
        <v>48</v>
      </c>
      <c r="M37" s="25" t="s">
        <v>64</v>
      </c>
    </row>
    <row r="38" spans="1:13" s="25" customFormat="1">
      <c r="A38" s="25" t="s">
        <v>62</v>
      </c>
      <c r="B38" s="25" t="s">
        <v>52</v>
      </c>
      <c r="C38" s="27" t="s">
        <v>53</v>
      </c>
      <c r="D38" s="25" t="s">
        <v>26</v>
      </c>
      <c r="E38" s="25" t="s">
        <v>16</v>
      </c>
      <c r="F38" s="25">
        <v>650</v>
      </c>
      <c r="G38" s="25">
        <v>1</v>
      </c>
      <c r="H38" s="26">
        <f>F38*'conversion factors'!$B$5</f>
        <v>546</v>
      </c>
      <c r="I38" s="25">
        <v>2026</v>
      </c>
      <c r="J38" s="25" t="s">
        <v>19</v>
      </c>
      <c r="K38" s="25" t="s">
        <v>54</v>
      </c>
      <c r="M38" s="25" t="s">
        <v>65</v>
      </c>
    </row>
    <row r="39" spans="1:13" s="25" customFormat="1">
      <c r="A39" s="25" t="s">
        <v>62</v>
      </c>
      <c r="B39" s="25" t="s">
        <v>52</v>
      </c>
      <c r="C39" s="27" t="s">
        <v>56</v>
      </c>
      <c r="D39" s="25" t="s">
        <v>26</v>
      </c>
      <c r="E39" s="25" t="s">
        <v>16</v>
      </c>
      <c r="F39" s="25">
        <v>332</v>
      </c>
      <c r="G39" s="25">
        <v>1</v>
      </c>
      <c r="H39" s="26">
        <f>F39*'conversion factors'!$B$6</f>
        <v>228.41599999999997</v>
      </c>
      <c r="I39" s="25">
        <v>2018</v>
      </c>
      <c r="K39" s="25" t="s">
        <v>57</v>
      </c>
    </row>
    <row r="40" spans="1:13" s="25" customFormat="1">
      <c r="A40" s="25" t="s">
        <v>62</v>
      </c>
      <c r="B40" s="25" t="s">
        <v>52</v>
      </c>
      <c r="C40" s="27" t="s">
        <v>56</v>
      </c>
      <c r="D40" s="25" t="s">
        <v>26</v>
      </c>
      <c r="E40" s="25" t="s">
        <v>16</v>
      </c>
      <c r="F40" s="25">
        <v>371</v>
      </c>
      <c r="G40" s="25">
        <v>1</v>
      </c>
      <c r="H40" s="26">
        <f>F40*'conversion factors'!$B$6</f>
        <v>255.24799999999999</v>
      </c>
      <c r="I40" s="25">
        <v>2025</v>
      </c>
      <c r="J40" s="25" t="s">
        <v>19</v>
      </c>
      <c r="K40" s="25" t="s">
        <v>57</v>
      </c>
    </row>
    <row r="41" spans="1:13" s="25" customFormat="1">
      <c r="A41" s="25" t="s">
        <v>62</v>
      </c>
      <c r="B41" s="25" t="s">
        <v>20</v>
      </c>
      <c r="C41" s="27" t="s">
        <v>21</v>
      </c>
      <c r="D41" s="25" t="s">
        <v>15</v>
      </c>
      <c r="E41" s="25" t="s">
        <v>16</v>
      </c>
      <c r="F41" s="25">
        <v>300</v>
      </c>
      <c r="G41" s="25">
        <v>1</v>
      </c>
      <c r="H41" s="26">
        <f>F41*'conversion factors'!$B$17</f>
        <v>364.28571428571428</v>
      </c>
      <c r="I41" s="25">
        <v>2018</v>
      </c>
      <c r="K41" s="25" t="s">
        <v>22</v>
      </c>
      <c r="M41" s="25" t="s">
        <v>23</v>
      </c>
    </row>
    <row r="42" spans="1:13" s="25" customFormat="1">
      <c r="A42" s="25" t="s">
        <v>62</v>
      </c>
      <c r="B42" s="25" t="s">
        <v>20</v>
      </c>
      <c r="C42" s="27" t="s">
        <v>21</v>
      </c>
      <c r="D42" s="25" t="s">
        <v>15</v>
      </c>
      <c r="E42" s="25" t="s">
        <v>16</v>
      </c>
      <c r="F42" s="25">
        <v>330</v>
      </c>
      <c r="G42" s="25">
        <v>1</v>
      </c>
      <c r="H42" s="26">
        <f>F42*'conversion factors'!$B$17</f>
        <v>400.71428571428567</v>
      </c>
      <c r="I42" s="25">
        <v>2021</v>
      </c>
      <c r="K42" s="25" t="s">
        <v>24</v>
      </c>
      <c r="M42" s="25" t="s">
        <v>23</v>
      </c>
    </row>
    <row r="43" spans="1:13" s="25" customFormat="1">
      <c r="A43" s="25" t="s">
        <v>62</v>
      </c>
      <c r="B43" s="25" t="s">
        <v>20</v>
      </c>
      <c r="C43" s="27" t="s">
        <v>21</v>
      </c>
      <c r="D43" s="25" t="s">
        <v>15</v>
      </c>
      <c r="E43" s="25" t="s">
        <v>16</v>
      </c>
      <c r="F43" s="25">
        <v>330</v>
      </c>
      <c r="G43" s="25">
        <v>1</v>
      </c>
      <c r="H43" s="26">
        <f>F43*'conversion factors'!$B$17</f>
        <v>400.71428571428567</v>
      </c>
      <c r="I43" s="25">
        <v>2023</v>
      </c>
      <c r="J43" s="25" t="s">
        <v>19</v>
      </c>
      <c r="K43" s="25" t="s">
        <v>24</v>
      </c>
      <c r="M43" s="25" t="s">
        <v>23</v>
      </c>
    </row>
    <row r="44" spans="1:13" s="25" customFormat="1">
      <c r="A44" s="25" t="s">
        <v>62</v>
      </c>
      <c r="B44" s="25" t="s">
        <v>20</v>
      </c>
      <c r="C44" s="27" t="s">
        <v>30</v>
      </c>
      <c r="D44" s="25" t="s">
        <v>26</v>
      </c>
      <c r="E44" s="25" t="s">
        <v>16</v>
      </c>
      <c r="F44" s="25">
        <v>1900</v>
      </c>
      <c r="G44" s="25">
        <v>1</v>
      </c>
      <c r="H44" s="26">
        <f>F44*'conversion factors'!$B$4</f>
        <v>1520</v>
      </c>
      <c r="I44" s="25">
        <v>2018</v>
      </c>
      <c r="K44" s="25" t="s">
        <v>66</v>
      </c>
      <c r="M44" s="25" t="s">
        <v>67</v>
      </c>
    </row>
    <row r="45" spans="1:13" s="25" customFormat="1">
      <c r="A45" s="25" t="s">
        <v>62</v>
      </c>
      <c r="B45" s="25" t="s">
        <v>20</v>
      </c>
      <c r="C45" s="27" t="s">
        <v>30</v>
      </c>
      <c r="D45" s="25" t="s">
        <v>26</v>
      </c>
      <c r="E45" s="25" t="s">
        <v>16</v>
      </c>
      <c r="F45" s="25">
        <v>2000</v>
      </c>
      <c r="G45" s="25">
        <v>1</v>
      </c>
      <c r="H45" s="26">
        <f>F45*'conversion factors'!$B$4</f>
        <v>1600</v>
      </c>
      <c r="I45" s="25">
        <v>2021</v>
      </c>
      <c r="K45" s="25" t="s">
        <v>66</v>
      </c>
      <c r="M45" s="25" t="s">
        <v>67</v>
      </c>
    </row>
    <row r="46" spans="1:13" s="25" customFormat="1">
      <c r="A46" s="25" t="s">
        <v>62</v>
      </c>
      <c r="B46" s="25" t="s">
        <v>20</v>
      </c>
      <c r="C46" s="27" t="s">
        <v>25</v>
      </c>
      <c r="D46" s="25" t="s">
        <v>26</v>
      </c>
      <c r="E46" s="25" t="s">
        <v>16</v>
      </c>
      <c r="F46" s="25">
        <v>0</v>
      </c>
      <c r="G46" s="25">
        <v>1</v>
      </c>
      <c r="H46" s="26">
        <f>F46*'conversion factors'!$B$4</f>
        <v>0</v>
      </c>
      <c r="I46" s="25">
        <v>2024</v>
      </c>
      <c r="J46" s="25" t="s">
        <v>19</v>
      </c>
      <c r="K46" s="25" t="s">
        <v>66</v>
      </c>
    </row>
    <row r="47" spans="1:13" s="25" customFormat="1">
      <c r="A47" s="25" t="s">
        <v>62</v>
      </c>
      <c r="B47" s="25" t="s">
        <v>20</v>
      </c>
      <c r="C47" s="27" t="s">
        <v>30</v>
      </c>
      <c r="D47" s="25" t="s">
        <v>26</v>
      </c>
      <c r="E47" s="25" t="s">
        <v>16</v>
      </c>
      <c r="F47" s="25">
        <v>2100</v>
      </c>
      <c r="G47" s="25">
        <v>1</v>
      </c>
      <c r="H47" s="26">
        <f>F47*'conversion factors'!$B$4</f>
        <v>1680</v>
      </c>
      <c r="I47" s="25">
        <v>2024</v>
      </c>
      <c r="J47" s="25" t="s">
        <v>19</v>
      </c>
      <c r="K47" s="25" t="s">
        <v>66</v>
      </c>
      <c r="M47" s="25" t="s">
        <v>67</v>
      </c>
    </row>
    <row r="48" spans="1:13" s="25" customFormat="1">
      <c r="A48" s="25" t="s">
        <v>62</v>
      </c>
      <c r="B48" s="25" t="s">
        <v>42</v>
      </c>
      <c r="C48" s="27" t="s">
        <v>43</v>
      </c>
      <c r="D48" s="25" t="s">
        <v>15</v>
      </c>
      <c r="E48" s="25" t="s">
        <v>16</v>
      </c>
      <c r="F48" s="25">
        <v>0</v>
      </c>
      <c r="H48" s="26">
        <f t="shared" ref="H48:H67" si="2">F48</f>
        <v>0</v>
      </c>
      <c r="I48" s="25">
        <v>2025</v>
      </c>
      <c r="J48" s="25" t="s">
        <v>19</v>
      </c>
      <c r="K48" s="25" t="s">
        <v>48</v>
      </c>
      <c r="M48" s="25" t="s">
        <v>68</v>
      </c>
    </row>
    <row r="49" spans="1:13" s="25" customFormat="1">
      <c r="A49" s="25" t="s">
        <v>62</v>
      </c>
      <c r="B49" s="25" t="s">
        <v>42</v>
      </c>
      <c r="C49" s="27" t="s">
        <v>47</v>
      </c>
      <c r="D49" s="25" t="s">
        <v>15</v>
      </c>
      <c r="E49" s="25" t="s">
        <v>16</v>
      </c>
      <c r="F49" s="25">
        <v>50</v>
      </c>
      <c r="H49" s="26">
        <f t="shared" si="2"/>
        <v>50</v>
      </c>
      <c r="I49" s="25">
        <v>2025</v>
      </c>
      <c r="J49" s="25" t="s">
        <v>19</v>
      </c>
      <c r="K49" s="25" t="s">
        <v>48</v>
      </c>
      <c r="M49" s="25" t="s">
        <v>69</v>
      </c>
    </row>
    <row r="50" spans="1:13" s="25" customFormat="1">
      <c r="A50" s="25" t="s">
        <v>62</v>
      </c>
      <c r="B50" s="25" t="s">
        <v>42</v>
      </c>
      <c r="C50" s="27" t="s">
        <v>50</v>
      </c>
      <c r="D50" s="25" t="s">
        <v>15</v>
      </c>
      <c r="E50" s="25" t="s">
        <v>16</v>
      </c>
      <c r="F50" s="25">
        <v>0</v>
      </c>
      <c r="H50" s="26">
        <f t="shared" si="2"/>
        <v>0</v>
      </c>
      <c r="I50" s="25">
        <v>2025</v>
      </c>
      <c r="J50" s="25" t="s">
        <v>19</v>
      </c>
      <c r="K50" s="25" t="s">
        <v>48</v>
      </c>
      <c r="M50" s="25" t="s">
        <v>70</v>
      </c>
    </row>
    <row r="51" spans="1:13" s="25" customFormat="1">
      <c r="A51" s="25" t="s">
        <v>62</v>
      </c>
      <c r="B51" s="25" t="s">
        <v>58</v>
      </c>
      <c r="C51" s="27" t="s">
        <v>59</v>
      </c>
      <c r="D51" s="25" t="s">
        <v>26</v>
      </c>
      <c r="E51" s="25" t="s">
        <v>16</v>
      </c>
      <c r="F51" s="25">
        <v>16000</v>
      </c>
      <c r="G51" s="25">
        <v>1</v>
      </c>
      <c r="H51" s="26">
        <f>F51*'conversion factors'!$B$7*'conversion factors'!$B$12</f>
        <v>10208</v>
      </c>
      <c r="I51" s="25">
        <v>2018</v>
      </c>
      <c r="K51" s="25" t="s">
        <v>60</v>
      </c>
      <c r="M51" s="25" t="s">
        <v>71</v>
      </c>
    </row>
    <row r="52" spans="1:13" s="25" customFormat="1">
      <c r="A52" s="25" t="s">
        <v>62</v>
      </c>
      <c r="B52" s="25" t="s">
        <v>58</v>
      </c>
      <c r="C52" s="27" t="s">
        <v>59</v>
      </c>
      <c r="D52" s="25" t="s">
        <v>26</v>
      </c>
      <c r="E52" s="25" t="s">
        <v>16</v>
      </c>
      <c r="F52" s="25">
        <v>10200</v>
      </c>
      <c r="G52" s="25">
        <v>1</v>
      </c>
      <c r="H52" s="26">
        <f>F52*'conversion factors'!$B$7*'conversion factors'!$B$12</f>
        <v>6507.6</v>
      </c>
      <c r="I52" s="25">
        <v>2021</v>
      </c>
      <c r="K52" s="25" t="s">
        <v>60</v>
      </c>
    </row>
    <row r="53" spans="1:13" s="25" customFormat="1">
      <c r="A53" s="25" t="s">
        <v>62</v>
      </c>
      <c r="B53" s="25" t="s">
        <v>58</v>
      </c>
      <c r="C53" s="27" t="s">
        <v>59</v>
      </c>
      <c r="D53" s="25" t="s">
        <v>26</v>
      </c>
      <c r="E53" s="25" t="s">
        <v>16</v>
      </c>
      <c r="F53" s="25">
        <v>10390</v>
      </c>
      <c r="G53" s="25">
        <v>1</v>
      </c>
      <c r="H53" s="26">
        <f>F53*'conversion factors'!$B$7*'conversion factors'!$B$12</f>
        <v>6628.82</v>
      </c>
      <c r="I53" s="25">
        <v>2025</v>
      </c>
      <c r="J53" s="25" t="s">
        <v>19</v>
      </c>
      <c r="K53" s="25" t="s">
        <v>60</v>
      </c>
    </row>
    <row r="54" spans="1:13" s="25" customFormat="1">
      <c r="A54" s="25" t="s">
        <v>62</v>
      </c>
      <c r="B54" s="25" t="s">
        <v>31</v>
      </c>
      <c r="C54" s="27" t="s">
        <v>32</v>
      </c>
      <c r="D54" s="25" t="s">
        <v>26</v>
      </c>
      <c r="E54" s="25" t="s">
        <v>16</v>
      </c>
      <c r="F54" s="25">
        <v>0</v>
      </c>
      <c r="G54" s="25">
        <v>1</v>
      </c>
      <c r="H54" s="26">
        <f>F54*'conversion factors'!$B$4</f>
        <v>0</v>
      </c>
      <c r="I54" s="25">
        <v>2018</v>
      </c>
      <c r="J54" s="25" t="s">
        <v>19</v>
      </c>
      <c r="K54" s="25" t="s">
        <v>33</v>
      </c>
      <c r="M54" s="25" t="s">
        <v>72</v>
      </c>
    </row>
    <row r="55" spans="1:13" s="25" customFormat="1">
      <c r="A55" s="25" t="s">
        <v>62</v>
      </c>
      <c r="B55" s="25" t="s">
        <v>31</v>
      </c>
      <c r="C55" s="27" t="s">
        <v>35</v>
      </c>
      <c r="D55" s="25" t="s">
        <v>15</v>
      </c>
      <c r="E55" s="25" t="s">
        <v>16</v>
      </c>
      <c r="F55" s="25">
        <v>575</v>
      </c>
      <c r="H55" s="26">
        <f t="shared" si="2"/>
        <v>575</v>
      </c>
      <c r="I55" s="25">
        <v>2018</v>
      </c>
      <c r="K55" s="25" t="s">
        <v>33</v>
      </c>
      <c r="M55" s="25" t="s">
        <v>73</v>
      </c>
    </row>
    <row r="56" spans="1:13" s="25" customFormat="1">
      <c r="A56" s="25" t="s">
        <v>62</v>
      </c>
      <c r="B56" s="25" t="s">
        <v>31</v>
      </c>
      <c r="C56" s="27" t="s">
        <v>35</v>
      </c>
      <c r="D56" s="25" t="s">
        <v>15</v>
      </c>
      <c r="E56" s="25" t="s">
        <v>16</v>
      </c>
      <c r="F56" s="28">
        <v>623.84</v>
      </c>
      <c r="G56" s="28"/>
      <c r="H56" s="26">
        <f t="shared" si="2"/>
        <v>623.84</v>
      </c>
      <c r="I56" s="25">
        <v>2020</v>
      </c>
      <c r="K56" s="25" t="s">
        <v>74</v>
      </c>
      <c r="M56" s="25" t="s">
        <v>75</v>
      </c>
    </row>
    <row r="57" spans="1:13" s="25" customFormat="1">
      <c r="A57" s="25" t="s">
        <v>62</v>
      </c>
      <c r="B57" s="25" t="s">
        <v>31</v>
      </c>
      <c r="C57" s="27" t="s">
        <v>35</v>
      </c>
      <c r="D57" s="25" t="s">
        <v>15</v>
      </c>
      <c r="E57" s="25" t="s">
        <v>16</v>
      </c>
      <c r="F57" s="28">
        <v>622.48199999999997</v>
      </c>
      <c r="G57" s="28"/>
      <c r="H57" s="26">
        <f t="shared" si="2"/>
        <v>622.48199999999997</v>
      </c>
      <c r="I57" s="25">
        <v>2021</v>
      </c>
      <c r="K57" s="25" t="s">
        <v>74</v>
      </c>
      <c r="M57" s="25" t="s">
        <v>75</v>
      </c>
    </row>
    <row r="58" spans="1:13" s="25" customFormat="1">
      <c r="A58" s="25" t="s">
        <v>62</v>
      </c>
      <c r="B58" s="25" t="s">
        <v>31</v>
      </c>
      <c r="C58" s="27" t="s">
        <v>35</v>
      </c>
      <c r="D58" s="25" t="s">
        <v>15</v>
      </c>
      <c r="E58" s="25" t="s">
        <v>16</v>
      </c>
      <c r="F58" s="28">
        <v>703.923</v>
      </c>
      <c r="G58" s="28"/>
      <c r="H58" s="26">
        <f t="shared" si="2"/>
        <v>703.923</v>
      </c>
      <c r="I58" s="25">
        <v>2022</v>
      </c>
      <c r="K58" s="25" t="s">
        <v>74</v>
      </c>
      <c r="M58" s="25" t="s">
        <v>75</v>
      </c>
    </row>
    <row r="59" spans="1:13" s="25" customFormat="1">
      <c r="A59" s="25" t="s">
        <v>62</v>
      </c>
      <c r="B59" s="25" t="s">
        <v>31</v>
      </c>
      <c r="C59" s="27" t="s">
        <v>35</v>
      </c>
      <c r="D59" s="25" t="s">
        <v>15</v>
      </c>
      <c r="E59" s="25" t="s">
        <v>16</v>
      </c>
      <c r="F59" s="28">
        <v>689.88400000000001</v>
      </c>
      <c r="G59" s="28"/>
      <c r="H59" s="26">
        <f t="shared" si="2"/>
        <v>689.88400000000001</v>
      </c>
      <c r="I59" s="25">
        <v>2023</v>
      </c>
      <c r="K59" s="25" t="s">
        <v>74</v>
      </c>
      <c r="M59" s="25" t="s">
        <v>75</v>
      </c>
    </row>
    <row r="60" spans="1:13" s="25" customFormat="1">
      <c r="A60" s="25" t="s">
        <v>62</v>
      </c>
      <c r="B60" s="25" t="s">
        <v>31</v>
      </c>
      <c r="C60" s="27" t="s">
        <v>35</v>
      </c>
      <c r="D60" s="25" t="s">
        <v>15</v>
      </c>
      <c r="E60" s="25" t="s">
        <v>16</v>
      </c>
      <c r="F60" s="28">
        <v>610.10599999999999</v>
      </c>
      <c r="G60" s="28"/>
      <c r="H60" s="26">
        <f t="shared" si="2"/>
        <v>610.10599999999999</v>
      </c>
      <c r="I60" s="25">
        <v>2024</v>
      </c>
      <c r="J60" s="25" t="s">
        <v>19</v>
      </c>
      <c r="K60" s="25" t="s">
        <v>74</v>
      </c>
      <c r="L60" s="25" t="s">
        <v>76</v>
      </c>
      <c r="M60" s="25" t="s">
        <v>75</v>
      </c>
    </row>
    <row r="61" spans="1:13" s="25" customFormat="1">
      <c r="A61" s="25" t="s">
        <v>77</v>
      </c>
      <c r="B61" s="25" t="s">
        <v>14</v>
      </c>
      <c r="C61" s="27" t="s">
        <v>14</v>
      </c>
      <c r="D61" s="25" t="s">
        <v>15</v>
      </c>
      <c r="E61" s="25" t="s">
        <v>16</v>
      </c>
      <c r="F61" s="25">
        <v>9100</v>
      </c>
      <c r="H61" s="26">
        <f t="shared" si="2"/>
        <v>9100</v>
      </c>
      <c r="I61" s="25">
        <v>2018</v>
      </c>
      <c r="K61" s="25" t="s">
        <v>78</v>
      </c>
      <c r="M61" s="25" t="s">
        <v>79</v>
      </c>
    </row>
    <row r="62" spans="1:13" s="25" customFormat="1">
      <c r="A62" s="25" t="s">
        <v>77</v>
      </c>
      <c r="B62" s="25" t="s">
        <v>14</v>
      </c>
      <c r="C62" s="27" t="s">
        <v>14</v>
      </c>
      <c r="D62" s="25" t="s">
        <v>15</v>
      </c>
      <c r="E62" s="25" t="s">
        <v>16</v>
      </c>
      <c r="F62" s="25">
        <v>9079</v>
      </c>
      <c r="H62" s="26">
        <f t="shared" si="2"/>
        <v>9079</v>
      </c>
      <c r="I62" s="25">
        <v>2019</v>
      </c>
      <c r="K62" s="25" t="s">
        <v>80</v>
      </c>
      <c r="L62" s="25" t="s">
        <v>78</v>
      </c>
      <c r="M62" s="25" t="s">
        <v>81</v>
      </c>
    </row>
    <row r="63" spans="1:13" s="25" customFormat="1">
      <c r="A63" s="25" t="s">
        <v>77</v>
      </c>
      <c r="B63" s="25" t="s">
        <v>14</v>
      </c>
      <c r="C63" s="27" t="s">
        <v>14</v>
      </c>
      <c r="D63" s="25" t="s">
        <v>15</v>
      </c>
      <c r="E63" s="25" t="s">
        <v>16</v>
      </c>
      <c r="F63" s="25">
        <v>8046</v>
      </c>
      <c r="H63" s="26">
        <f t="shared" si="2"/>
        <v>8046</v>
      </c>
      <c r="I63" s="25">
        <v>2020</v>
      </c>
      <c r="K63" s="25" t="s">
        <v>80</v>
      </c>
      <c r="L63" s="25" t="s">
        <v>78</v>
      </c>
      <c r="M63" s="25" t="s">
        <v>81</v>
      </c>
    </row>
    <row r="64" spans="1:13" s="25" customFormat="1">
      <c r="A64" s="25" t="s">
        <v>77</v>
      </c>
      <c r="B64" s="25" t="s">
        <v>14</v>
      </c>
      <c r="C64" s="27" t="s">
        <v>14</v>
      </c>
      <c r="D64" s="25" t="s">
        <v>15</v>
      </c>
      <c r="E64" s="25" t="s">
        <v>16</v>
      </c>
      <c r="F64" s="25">
        <v>9008</v>
      </c>
      <c r="H64" s="26">
        <f t="shared" si="2"/>
        <v>9008</v>
      </c>
      <c r="I64" s="25">
        <v>2021</v>
      </c>
      <c r="K64" s="25" t="s">
        <v>80</v>
      </c>
      <c r="L64" s="25" t="s">
        <v>78</v>
      </c>
      <c r="M64" s="25" t="s">
        <v>81</v>
      </c>
    </row>
    <row r="65" spans="1:13" s="25" customFormat="1">
      <c r="A65" s="25" t="s">
        <v>77</v>
      </c>
      <c r="B65" s="25" t="s">
        <v>14</v>
      </c>
      <c r="C65" s="27" t="s">
        <v>14</v>
      </c>
      <c r="D65" s="25" t="s">
        <v>15</v>
      </c>
      <c r="E65" s="25" t="s">
        <v>16</v>
      </c>
      <c r="F65" s="25">
        <v>8393</v>
      </c>
      <c r="H65" s="26">
        <f t="shared" si="2"/>
        <v>8393</v>
      </c>
      <c r="I65" s="25">
        <v>2022</v>
      </c>
      <c r="K65" s="25" t="s">
        <v>80</v>
      </c>
      <c r="L65" s="25" t="s">
        <v>78</v>
      </c>
      <c r="M65" s="25" t="s">
        <v>81</v>
      </c>
    </row>
    <row r="66" spans="1:13" s="25" customFormat="1">
      <c r="A66" s="25" t="s">
        <v>77</v>
      </c>
      <c r="B66" s="25" t="s">
        <v>14</v>
      </c>
      <c r="C66" s="27" t="s">
        <v>14</v>
      </c>
      <c r="D66" s="25" t="s">
        <v>15</v>
      </c>
      <c r="E66" s="25" t="s">
        <v>16</v>
      </c>
      <c r="F66" s="25">
        <v>7689</v>
      </c>
      <c r="H66" s="26">
        <f t="shared" si="2"/>
        <v>7689</v>
      </c>
      <c r="I66" s="25">
        <v>2023</v>
      </c>
      <c r="K66" s="25" t="s">
        <v>80</v>
      </c>
      <c r="L66" s="25" t="s">
        <v>78</v>
      </c>
      <c r="M66" s="25" t="s">
        <v>81</v>
      </c>
    </row>
    <row r="67" spans="1:13" s="25" customFormat="1">
      <c r="A67" s="25" t="s">
        <v>77</v>
      </c>
      <c r="B67" s="25" t="s">
        <v>14</v>
      </c>
      <c r="C67" s="27" t="s">
        <v>14</v>
      </c>
      <c r="D67" s="25" t="s">
        <v>15</v>
      </c>
      <c r="E67" s="25" t="s">
        <v>16</v>
      </c>
      <c r="F67" s="25">
        <v>7100</v>
      </c>
      <c r="H67" s="26">
        <f t="shared" si="2"/>
        <v>7100</v>
      </c>
      <c r="I67" s="25">
        <v>2024</v>
      </c>
      <c r="J67" s="25" t="s">
        <v>19</v>
      </c>
      <c r="K67" s="25" t="s">
        <v>78</v>
      </c>
      <c r="M67" s="25" t="s">
        <v>79</v>
      </c>
    </row>
    <row r="68" spans="1:13" s="25" customFormat="1">
      <c r="A68" s="25" t="s">
        <v>77</v>
      </c>
      <c r="B68" s="25" t="s">
        <v>52</v>
      </c>
      <c r="C68" s="27" t="s">
        <v>53</v>
      </c>
      <c r="D68" s="25" t="s">
        <v>26</v>
      </c>
      <c r="E68" s="25" t="s">
        <v>16</v>
      </c>
      <c r="F68" s="25">
        <f>700+770</f>
        <v>1470</v>
      </c>
      <c r="G68" s="25">
        <v>1</v>
      </c>
      <c r="H68" s="26">
        <f>F68*'conversion factors'!$B$5</f>
        <v>1234.8</v>
      </c>
      <c r="I68" s="25">
        <v>2026</v>
      </c>
      <c r="J68" s="25" t="s">
        <v>19</v>
      </c>
      <c r="K68" s="25" t="s">
        <v>54</v>
      </c>
      <c r="L68" s="25" t="s">
        <v>82</v>
      </c>
      <c r="M68" s="25" t="s">
        <v>83</v>
      </c>
    </row>
    <row r="69" spans="1:13" s="25" customFormat="1">
      <c r="A69" s="25" t="s">
        <v>77</v>
      </c>
      <c r="B69" s="25" t="s">
        <v>52</v>
      </c>
      <c r="C69" s="27" t="s">
        <v>56</v>
      </c>
      <c r="D69" s="25" t="s">
        <v>26</v>
      </c>
      <c r="E69" s="25" t="s">
        <v>16</v>
      </c>
      <c r="F69" s="25">
        <v>481</v>
      </c>
      <c r="G69" s="25">
        <v>1</v>
      </c>
      <c r="H69" s="26">
        <f>F69*'conversion factors'!$B$6</f>
        <v>330.928</v>
      </c>
      <c r="I69" s="25">
        <v>2018</v>
      </c>
      <c r="K69" s="25" t="s">
        <v>57</v>
      </c>
    </row>
    <row r="70" spans="1:13" s="25" customFormat="1">
      <c r="A70" s="25" t="s">
        <v>77</v>
      </c>
      <c r="B70" s="25" t="s">
        <v>52</v>
      </c>
      <c r="C70" s="27" t="s">
        <v>56</v>
      </c>
      <c r="D70" s="25" t="s">
        <v>26</v>
      </c>
      <c r="E70" s="25" t="s">
        <v>16</v>
      </c>
      <c r="F70" s="25">
        <v>474</v>
      </c>
      <c r="G70" s="25">
        <v>1</v>
      </c>
      <c r="H70" s="26">
        <f>F70*'conversion factors'!$B$6</f>
        <v>326.11199999999997</v>
      </c>
      <c r="I70" s="25">
        <v>2025</v>
      </c>
      <c r="J70" s="25" t="s">
        <v>19</v>
      </c>
      <c r="K70" s="25" t="s">
        <v>57</v>
      </c>
    </row>
    <row r="71" spans="1:13" s="25" customFormat="1">
      <c r="A71" s="25" t="s">
        <v>77</v>
      </c>
      <c r="B71" s="25" t="s">
        <v>20</v>
      </c>
      <c r="C71" s="27" t="s">
        <v>21</v>
      </c>
      <c r="D71" s="25" t="s">
        <v>15</v>
      </c>
      <c r="E71" s="25" t="s">
        <v>16</v>
      </c>
      <c r="F71" s="25">
        <v>740</v>
      </c>
      <c r="G71" s="25">
        <v>1</v>
      </c>
      <c r="H71" s="26">
        <f>F71*'conversion factors'!$B$17</f>
        <v>898.57142857142856</v>
      </c>
      <c r="I71" s="25">
        <v>2018</v>
      </c>
      <c r="K71" s="25" t="s">
        <v>22</v>
      </c>
      <c r="M71" s="25" t="s">
        <v>23</v>
      </c>
    </row>
    <row r="72" spans="1:13" s="25" customFormat="1">
      <c r="A72" s="25" t="s">
        <v>77</v>
      </c>
      <c r="B72" s="25" t="s">
        <v>20</v>
      </c>
      <c r="C72" s="27" t="s">
        <v>21</v>
      </c>
      <c r="D72" s="25" t="s">
        <v>15</v>
      </c>
      <c r="E72" s="25" t="s">
        <v>16</v>
      </c>
      <c r="F72" s="25">
        <v>630</v>
      </c>
      <c r="G72" s="25">
        <v>1</v>
      </c>
      <c r="H72" s="26">
        <f>F72*'conversion factors'!$B$17</f>
        <v>764.99999999999989</v>
      </c>
      <c r="I72" s="25">
        <v>2021</v>
      </c>
      <c r="K72" s="25" t="s">
        <v>24</v>
      </c>
      <c r="M72" s="25" t="s">
        <v>23</v>
      </c>
    </row>
    <row r="73" spans="1:13" s="25" customFormat="1">
      <c r="A73" s="25" t="s">
        <v>77</v>
      </c>
      <c r="B73" s="25" t="s">
        <v>20</v>
      </c>
      <c r="C73" s="27" t="s">
        <v>21</v>
      </c>
      <c r="D73" s="25" t="s">
        <v>15</v>
      </c>
      <c r="E73" s="25" t="s">
        <v>16</v>
      </c>
      <c r="F73" s="25">
        <v>40</v>
      </c>
      <c r="G73" s="25">
        <v>1</v>
      </c>
      <c r="H73" s="26">
        <f>F73*'conversion factors'!$B$17</f>
        <v>48.571428571428569</v>
      </c>
      <c r="I73" s="25">
        <v>2023</v>
      </c>
      <c r="J73" s="25" t="s">
        <v>19</v>
      </c>
      <c r="K73" s="25" t="s">
        <v>24</v>
      </c>
      <c r="L73" s="25" t="s">
        <v>84</v>
      </c>
      <c r="M73" s="25" t="s">
        <v>85</v>
      </c>
    </row>
    <row r="74" spans="1:13" s="25" customFormat="1">
      <c r="A74" s="25" t="s">
        <v>77</v>
      </c>
      <c r="B74" s="25" t="s">
        <v>20</v>
      </c>
      <c r="C74" s="27" t="s">
        <v>25</v>
      </c>
      <c r="D74" s="25" t="s">
        <v>26</v>
      </c>
      <c r="E74" s="25" t="s">
        <v>16</v>
      </c>
      <c r="F74" s="25">
        <v>0</v>
      </c>
      <c r="G74" s="25">
        <v>1</v>
      </c>
      <c r="H74" s="26">
        <f>F74*'conversion factors'!$B$4</f>
        <v>0</v>
      </c>
      <c r="I74" s="25">
        <v>2024</v>
      </c>
      <c r="J74" s="29" t="s">
        <v>19</v>
      </c>
      <c r="K74" s="25" t="s">
        <v>86</v>
      </c>
      <c r="L74" s="25" t="s">
        <v>66</v>
      </c>
      <c r="M74" s="25" t="s">
        <v>87</v>
      </c>
    </row>
    <row r="75" spans="1:13" s="25" customFormat="1">
      <c r="A75" s="25" t="s">
        <v>77</v>
      </c>
      <c r="B75" s="25" t="s">
        <v>20</v>
      </c>
      <c r="C75" s="27" t="s">
        <v>30</v>
      </c>
      <c r="D75" s="25" t="s">
        <v>26</v>
      </c>
      <c r="E75" s="25" t="s">
        <v>16</v>
      </c>
      <c r="F75" s="25">
        <f>595+410</f>
        <v>1005</v>
      </c>
      <c r="G75" s="25">
        <v>1</v>
      </c>
      <c r="H75" s="26">
        <f>F75*'conversion factors'!$B$4</f>
        <v>804</v>
      </c>
      <c r="I75" s="25">
        <v>2024</v>
      </c>
      <c r="J75" s="25" t="s">
        <v>19</v>
      </c>
      <c r="K75" s="25" t="s">
        <v>86</v>
      </c>
      <c r="L75" s="25" t="s">
        <v>66</v>
      </c>
      <c r="M75" s="25" t="s">
        <v>88</v>
      </c>
    </row>
    <row r="76" spans="1:13" s="25" customFormat="1">
      <c r="A76" s="25" t="s">
        <v>77</v>
      </c>
      <c r="B76" s="25" t="s">
        <v>42</v>
      </c>
      <c r="C76" s="27" t="s">
        <v>43</v>
      </c>
      <c r="D76" s="25" t="s">
        <v>15</v>
      </c>
      <c r="E76" s="25" t="s">
        <v>16</v>
      </c>
      <c r="F76" s="25">
        <f>3000*0.6</f>
        <v>1800</v>
      </c>
      <c r="H76" s="26">
        <f t="shared" ref="H76:H138" si="3">F76</f>
        <v>1800</v>
      </c>
      <c r="I76" s="25">
        <v>2017</v>
      </c>
      <c r="J76" s="25" t="s">
        <v>19</v>
      </c>
      <c r="K76" s="25" t="s">
        <v>89</v>
      </c>
      <c r="L76" s="25" t="s">
        <v>90</v>
      </c>
      <c r="M76" s="25" t="s">
        <v>91</v>
      </c>
    </row>
    <row r="77" spans="1:13" s="25" customFormat="1">
      <c r="A77" s="25" t="s">
        <v>77</v>
      </c>
      <c r="B77" s="25" t="s">
        <v>42</v>
      </c>
      <c r="C77" s="27" t="s">
        <v>47</v>
      </c>
      <c r="D77" s="25" t="s">
        <v>15</v>
      </c>
      <c r="E77" s="25" t="s">
        <v>16</v>
      </c>
      <c r="F77" s="25">
        <f>3000*0.1</f>
        <v>300</v>
      </c>
      <c r="H77" s="26">
        <f t="shared" si="3"/>
        <v>300</v>
      </c>
      <c r="I77" s="25">
        <v>2017</v>
      </c>
      <c r="J77" s="25" t="s">
        <v>19</v>
      </c>
      <c r="K77" s="25" t="s">
        <v>89</v>
      </c>
      <c r="M77" s="25" t="s">
        <v>92</v>
      </c>
    </row>
    <row r="78" spans="1:13" s="25" customFormat="1">
      <c r="A78" s="25" t="s">
        <v>77</v>
      </c>
      <c r="B78" s="25" t="s">
        <v>42</v>
      </c>
      <c r="C78" s="27" t="s">
        <v>50</v>
      </c>
      <c r="D78" s="25" t="s">
        <v>15</v>
      </c>
      <c r="E78" s="25" t="s">
        <v>16</v>
      </c>
      <c r="F78" s="25">
        <f>3000*0.3</f>
        <v>900</v>
      </c>
      <c r="H78" s="26">
        <f t="shared" si="3"/>
        <v>900</v>
      </c>
      <c r="I78" s="25">
        <v>2017</v>
      </c>
      <c r="J78" s="25" t="s">
        <v>19</v>
      </c>
      <c r="K78" s="25" t="s">
        <v>89</v>
      </c>
      <c r="M78" s="25" t="s">
        <v>92</v>
      </c>
    </row>
    <row r="79" spans="1:13" s="25" customFormat="1">
      <c r="A79" s="25" t="s">
        <v>77</v>
      </c>
      <c r="B79" s="25" t="s">
        <v>58</v>
      </c>
      <c r="C79" s="27" t="s">
        <v>59</v>
      </c>
      <c r="D79" s="25" t="s">
        <v>26</v>
      </c>
      <c r="E79" s="25" t="s">
        <v>16</v>
      </c>
      <c r="F79" s="25">
        <v>60900</v>
      </c>
      <c r="G79" s="25">
        <v>1</v>
      </c>
      <c r="H79" s="26">
        <f>F79*'conversion factors'!$B$7*'conversion factors'!$B$12</f>
        <v>38854.199999999997</v>
      </c>
      <c r="I79" s="25">
        <v>2018</v>
      </c>
      <c r="K79" s="25" t="s">
        <v>60</v>
      </c>
    </row>
    <row r="80" spans="1:13" s="25" customFormat="1">
      <c r="A80" s="25" t="s">
        <v>77</v>
      </c>
      <c r="B80" s="25" t="s">
        <v>58</v>
      </c>
      <c r="C80" s="27" t="s">
        <v>59</v>
      </c>
      <c r="D80" s="25" t="s">
        <v>26</v>
      </c>
      <c r="E80" s="25" t="s">
        <v>16</v>
      </c>
      <c r="F80" s="25">
        <v>58600</v>
      </c>
      <c r="G80" s="25">
        <v>1</v>
      </c>
      <c r="H80" s="26">
        <f>F80*'conversion factors'!$B$7*'conversion factors'!$B$12</f>
        <v>37386.800000000003</v>
      </c>
      <c r="I80" s="25">
        <v>2021</v>
      </c>
      <c r="K80" s="25" t="s">
        <v>60</v>
      </c>
    </row>
    <row r="81" spans="1:13" s="25" customFormat="1">
      <c r="A81" s="25" t="s">
        <v>77</v>
      </c>
      <c r="B81" s="25" t="s">
        <v>58</v>
      </c>
      <c r="C81" s="27" t="s">
        <v>59</v>
      </c>
      <c r="D81" s="25" t="s">
        <v>26</v>
      </c>
      <c r="E81" s="25" t="s">
        <v>16</v>
      </c>
      <c r="F81" s="25">
        <v>45500</v>
      </c>
      <c r="G81" s="25">
        <v>1</v>
      </c>
      <c r="H81" s="26">
        <f>F81*'conversion factors'!$B$7*'conversion factors'!$B$12</f>
        <v>29029</v>
      </c>
      <c r="I81" s="25">
        <v>2025</v>
      </c>
      <c r="J81" s="25" t="s">
        <v>19</v>
      </c>
      <c r="K81" s="25" t="s">
        <v>60</v>
      </c>
    </row>
    <row r="82" spans="1:13" s="25" customFormat="1">
      <c r="A82" s="25" t="s">
        <v>77</v>
      </c>
      <c r="B82" s="25" t="s">
        <v>31</v>
      </c>
      <c r="C82" s="27" t="s">
        <v>32</v>
      </c>
      <c r="D82" s="25" t="s">
        <v>15</v>
      </c>
      <c r="E82" s="25" t="s">
        <v>16</v>
      </c>
      <c r="F82" s="25">
        <v>5651</v>
      </c>
      <c r="H82" s="26">
        <f t="shared" si="3"/>
        <v>5651</v>
      </c>
      <c r="I82" s="25">
        <v>2018</v>
      </c>
      <c r="K82" s="25" t="s">
        <v>33</v>
      </c>
      <c r="M82" s="25" t="s">
        <v>73</v>
      </c>
    </row>
    <row r="83" spans="1:13" s="25" customFormat="1">
      <c r="A83" s="25" t="s">
        <v>77</v>
      </c>
      <c r="B83" s="25" t="s">
        <v>31</v>
      </c>
      <c r="C83" s="27" t="s">
        <v>35</v>
      </c>
      <c r="D83" s="25" t="s">
        <v>15</v>
      </c>
      <c r="E83" s="25" t="s">
        <v>16</v>
      </c>
      <c r="F83" s="25">
        <v>1616</v>
      </c>
      <c r="H83" s="26">
        <f t="shared" si="3"/>
        <v>1616</v>
      </c>
      <c r="I83" s="25">
        <v>2018</v>
      </c>
      <c r="K83" s="25" t="s">
        <v>33</v>
      </c>
      <c r="M83" s="25" t="s">
        <v>73</v>
      </c>
    </row>
    <row r="84" spans="1:13" s="25" customFormat="1">
      <c r="A84" s="25" t="s">
        <v>77</v>
      </c>
      <c r="B84" s="25" t="s">
        <v>31</v>
      </c>
      <c r="C84" s="27" t="s">
        <v>32</v>
      </c>
      <c r="D84" s="25" t="s">
        <v>15</v>
      </c>
      <c r="E84" s="25" t="s">
        <v>16</v>
      </c>
      <c r="F84" s="26">
        <f>7200*0.817</f>
        <v>5882.4</v>
      </c>
      <c r="G84" s="26"/>
      <c r="H84" s="26">
        <f t="shared" si="3"/>
        <v>5882.4</v>
      </c>
      <c r="I84" s="25">
        <v>2021</v>
      </c>
      <c r="K84" s="25" t="s">
        <v>93</v>
      </c>
      <c r="M84" s="25" t="s">
        <v>94</v>
      </c>
    </row>
    <row r="85" spans="1:13" s="25" customFormat="1">
      <c r="A85" s="25" t="s">
        <v>77</v>
      </c>
      <c r="B85" s="25" t="s">
        <v>31</v>
      </c>
      <c r="C85" s="27" t="s">
        <v>35</v>
      </c>
      <c r="D85" s="25" t="s">
        <v>15</v>
      </c>
      <c r="E85" s="25" t="s">
        <v>16</v>
      </c>
      <c r="F85" s="26">
        <f>7200*0.183</f>
        <v>1317.6</v>
      </c>
      <c r="G85" s="26"/>
      <c r="H85" s="26">
        <f t="shared" si="3"/>
        <v>1317.6</v>
      </c>
      <c r="I85" s="25">
        <v>2021</v>
      </c>
      <c r="K85" s="25" t="s">
        <v>93</v>
      </c>
      <c r="M85" s="25" t="s">
        <v>94</v>
      </c>
    </row>
    <row r="86" spans="1:13" s="25" customFormat="1">
      <c r="A86" s="25" t="s">
        <v>77</v>
      </c>
      <c r="B86" s="25" t="s">
        <v>31</v>
      </c>
      <c r="C86" s="27" t="s">
        <v>32</v>
      </c>
      <c r="D86" s="25" t="s">
        <v>15</v>
      </c>
      <c r="E86" s="25" t="s">
        <v>16</v>
      </c>
      <c r="F86" s="25">
        <f>4000* 0.717</f>
        <v>2868</v>
      </c>
      <c r="H86" s="26">
        <f t="shared" si="3"/>
        <v>2868</v>
      </c>
      <c r="I86" s="25">
        <v>2024</v>
      </c>
      <c r="J86" s="25" t="s">
        <v>19</v>
      </c>
      <c r="K86" s="25" t="s">
        <v>95</v>
      </c>
      <c r="L86" s="25" t="s">
        <v>96</v>
      </c>
      <c r="M86" s="25" t="s">
        <v>97</v>
      </c>
    </row>
    <row r="87" spans="1:13" s="25" customFormat="1">
      <c r="A87" s="25" t="s">
        <v>77</v>
      </c>
      <c r="B87" s="25" t="s">
        <v>31</v>
      </c>
      <c r="C87" s="27" t="s">
        <v>35</v>
      </c>
      <c r="D87" s="25" t="s">
        <v>15</v>
      </c>
      <c r="E87" s="25" t="s">
        <v>16</v>
      </c>
      <c r="F87" s="25">
        <f>4000*0.283</f>
        <v>1132</v>
      </c>
      <c r="H87" s="26">
        <f t="shared" si="3"/>
        <v>1132</v>
      </c>
      <c r="I87" s="25">
        <v>2024</v>
      </c>
      <c r="J87" s="25" t="s">
        <v>19</v>
      </c>
      <c r="K87" s="25" t="s">
        <v>95</v>
      </c>
      <c r="L87" s="25" t="s">
        <v>96</v>
      </c>
      <c r="M87" s="25" t="s">
        <v>97</v>
      </c>
    </row>
    <row r="88" spans="1:13" s="25" customFormat="1">
      <c r="A88" s="25" t="s">
        <v>13</v>
      </c>
      <c r="B88" s="25" t="s">
        <v>98</v>
      </c>
      <c r="C88" s="25" t="s">
        <v>99</v>
      </c>
      <c r="D88" s="25" t="s">
        <v>15</v>
      </c>
      <c r="E88" s="25" t="s">
        <v>16</v>
      </c>
      <c r="F88" s="25">
        <v>0</v>
      </c>
      <c r="H88" s="26">
        <f t="shared" si="3"/>
        <v>0</v>
      </c>
      <c r="I88" s="25">
        <v>2021</v>
      </c>
      <c r="J88" s="25" t="s">
        <v>19</v>
      </c>
      <c r="K88" s="25" t="s">
        <v>100</v>
      </c>
      <c r="L88" s="25" t="s">
        <v>101</v>
      </c>
      <c r="M88" s="25" t="s">
        <v>92</v>
      </c>
    </row>
    <row r="89" spans="1:13" s="25" customFormat="1">
      <c r="A89" s="25" t="s">
        <v>13</v>
      </c>
      <c r="B89" s="25" t="s">
        <v>98</v>
      </c>
      <c r="C89" s="25" t="s">
        <v>102</v>
      </c>
      <c r="D89" s="25" t="s">
        <v>15</v>
      </c>
      <c r="E89" s="25" t="s">
        <v>16</v>
      </c>
      <c r="F89" s="25">
        <f>130+110+70+26+15</f>
        <v>351</v>
      </c>
      <c r="H89" s="26">
        <f t="shared" si="3"/>
        <v>351</v>
      </c>
      <c r="I89" s="25">
        <v>2018</v>
      </c>
      <c r="J89" s="25" t="s">
        <v>19</v>
      </c>
      <c r="K89" s="25" t="s">
        <v>103</v>
      </c>
      <c r="M89" s="25" t="s">
        <v>104</v>
      </c>
    </row>
    <row r="90" spans="1:13" s="25" customFormat="1">
      <c r="A90" s="25" t="s">
        <v>62</v>
      </c>
      <c r="B90" s="25" t="s">
        <v>98</v>
      </c>
      <c r="C90" s="25" t="s">
        <v>99</v>
      </c>
      <c r="D90" s="25" t="s">
        <v>15</v>
      </c>
      <c r="E90" s="25" t="s">
        <v>16</v>
      </c>
      <c r="F90" s="25">
        <v>1295</v>
      </c>
      <c r="H90" s="26">
        <f t="shared" si="3"/>
        <v>1295</v>
      </c>
      <c r="I90" s="25">
        <v>2018</v>
      </c>
      <c r="K90" s="25" t="s">
        <v>100</v>
      </c>
    </row>
    <row r="91" spans="1:13" s="25" customFormat="1">
      <c r="A91" s="25" t="s">
        <v>62</v>
      </c>
      <c r="B91" s="25" t="s">
        <v>98</v>
      </c>
      <c r="C91" s="25" t="s">
        <v>99</v>
      </c>
      <c r="D91" s="25" t="s">
        <v>15</v>
      </c>
      <c r="E91" s="25" t="s">
        <v>16</v>
      </c>
      <c r="F91" s="25">
        <v>1400</v>
      </c>
      <c r="H91" s="26">
        <f t="shared" si="3"/>
        <v>1400</v>
      </c>
      <c r="I91" s="25">
        <v>2021</v>
      </c>
      <c r="K91" s="25" t="s">
        <v>100</v>
      </c>
    </row>
    <row r="92" spans="1:13" s="25" customFormat="1">
      <c r="A92" s="25" t="s">
        <v>62</v>
      </c>
      <c r="B92" s="25" t="s">
        <v>98</v>
      </c>
      <c r="C92" s="25" t="s">
        <v>99</v>
      </c>
      <c r="D92" s="25" t="s">
        <v>15</v>
      </c>
      <c r="E92" s="25" t="s">
        <v>16</v>
      </c>
      <c r="F92" s="25">
        <v>1400</v>
      </c>
      <c r="H92" s="26">
        <f t="shared" si="3"/>
        <v>1400</v>
      </c>
      <c r="I92" s="25">
        <v>2022</v>
      </c>
      <c r="J92" s="25" t="s">
        <v>19</v>
      </c>
      <c r="K92" s="25" t="s">
        <v>100</v>
      </c>
    </row>
    <row r="93" spans="1:13" s="25" customFormat="1">
      <c r="A93" s="25" t="s">
        <v>62</v>
      </c>
      <c r="B93" s="25" t="s">
        <v>98</v>
      </c>
      <c r="C93" s="25" t="s">
        <v>102</v>
      </c>
      <c r="D93" s="25" t="s">
        <v>15</v>
      </c>
      <c r="E93" s="25" t="s">
        <v>16</v>
      </c>
      <c r="F93" s="25">
        <v>0</v>
      </c>
      <c r="H93" s="26">
        <f t="shared" si="3"/>
        <v>0</v>
      </c>
      <c r="I93" s="25">
        <v>2018</v>
      </c>
      <c r="J93" s="25" t="s">
        <v>19</v>
      </c>
      <c r="K93" s="25" t="s">
        <v>103</v>
      </c>
      <c r="M93" s="25" t="s">
        <v>105</v>
      </c>
    </row>
    <row r="94" spans="1:13" s="25" customFormat="1">
      <c r="A94" s="25" t="s">
        <v>77</v>
      </c>
      <c r="B94" s="25" t="s">
        <v>98</v>
      </c>
      <c r="C94" s="25" t="s">
        <v>99</v>
      </c>
      <c r="D94" s="25" t="s">
        <v>15</v>
      </c>
      <c r="E94" s="25" t="s">
        <v>16</v>
      </c>
      <c r="F94" s="25">
        <v>44</v>
      </c>
      <c r="H94" s="26">
        <f t="shared" si="3"/>
        <v>44</v>
      </c>
      <c r="I94" s="25">
        <v>2018</v>
      </c>
      <c r="K94" s="25" t="s">
        <v>100</v>
      </c>
    </row>
    <row r="95" spans="1:13" s="25" customFormat="1">
      <c r="A95" s="25" t="s">
        <v>77</v>
      </c>
      <c r="B95" s="25" t="s">
        <v>98</v>
      </c>
      <c r="C95" s="25" t="s">
        <v>99</v>
      </c>
      <c r="D95" s="25" t="s">
        <v>15</v>
      </c>
      <c r="E95" s="25" t="s">
        <v>16</v>
      </c>
      <c r="F95" s="25">
        <v>38</v>
      </c>
      <c r="H95" s="26">
        <f t="shared" si="3"/>
        <v>38</v>
      </c>
      <c r="I95" s="25">
        <v>2021</v>
      </c>
      <c r="K95" s="25" t="s">
        <v>100</v>
      </c>
    </row>
    <row r="96" spans="1:13" s="25" customFormat="1">
      <c r="A96" s="25" t="s">
        <v>77</v>
      </c>
      <c r="B96" s="25" t="s">
        <v>98</v>
      </c>
      <c r="C96" s="25" t="s">
        <v>99</v>
      </c>
      <c r="D96" s="25" t="s">
        <v>15</v>
      </c>
      <c r="E96" s="25" t="s">
        <v>16</v>
      </c>
      <c r="F96" s="25">
        <v>38</v>
      </c>
      <c r="H96" s="26">
        <f t="shared" si="3"/>
        <v>38</v>
      </c>
      <c r="I96" s="25">
        <v>2022</v>
      </c>
      <c r="J96" s="25" t="s">
        <v>19</v>
      </c>
      <c r="K96" s="25" t="s">
        <v>100</v>
      </c>
    </row>
    <row r="97" spans="1:13" s="25" customFormat="1">
      <c r="A97" s="25" t="s">
        <v>77</v>
      </c>
      <c r="B97" s="25" t="s">
        <v>98</v>
      </c>
      <c r="C97" s="25" t="s">
        <v>102</v>
      </c>
      <c r="D97" s="25" t="s">
        <v>15</v>
      </c>
      <c r="E97" s="25" t="s">
        <v>16</v>
      </c>
      <c r="F97" s="25">
        <v>148.80000000000001</v>
      </c>
      <c r="H97" s="26">
        <f t="shared" si="3"/>
        <v>148.80000000000001</v>
      </c>
      <c r="I97" s="25">
        <v>2018</v>
      </c>
      <c r="K97" s="25" t="s">
        <v>103</v>
      </c>
      <c r="M97" s="25" t="s">
        <v>106</v>
      </c>
    </row>
    <row r="98" spans="1:13" s="25" customFormat="1">
      <c r="A98" s="25" t="s">
        <v>77</v>
      </c>
      <c r="B98" s="25" t="s">
        <v>98</v>
      </c>
      <c r="C98" s="25" t="s">
        <v>102</v>
      </c>
      <c r="D98" s="25" t="s">
        <v>15</v>
      </c>
      <c r="E98" s="25" t="s">
        <v>16</v>
      </c>
      <c r="F98" s="25">
        <v>130</v>
      </c>
      <c r="H98" s="26">
        <f t="shared" si="3"/>
        <v>130</v>
      </c>
      <c r="I98" s="25">
        <v>2021</v>
      </c>
      <c r="J98" s="25" t="s">
        <v>19</v>
      </c>
      <c r="K98" s="25" t="s">
        <v>103</v>
      </c>
      <c r="M98" s="25" t="s">
        <v>106</v>
      </c>
    </row>
    <row r="99" spans="1:13" s="25" customFormat="1">
      <c r="A99" s="25" t="s">
        <v>13</v>
      </c>
      <c r="B99" s="25" t="s">
        <v>31</v>
      </c>
      <c r="C99" s="25" t="s">
        <v>35</v>
      </c>
      <c r="D99" s="25" t="s">
        <v>15</v>
      </c>
      <c r="E99" s="25" t="s">
        <v>16</v>
      </c>
      <c r="F99" s="25">
        <v>446.39</v>
      </c>
      <c r="H99" s="26">
        <f t="shared" si="3"/>
        <v>446.39</v>
      </c>
      <c r="I99" s="25">
        <v>2019</v>
      </c>
      <c r="J99" s="25" t="s">
        <v>107</v>
      </c>
      <c r="K99" s="30" t="s">
        <v>108</v>
      </c>
    </row>
    <row r="100" spans="1:13" s="25" customFormat="1">
      <c r="A100" s="25" t="s">
        <v>13</v>
      </c>
      <c r="B100" s="25" t="s">
        <v>31</v>
      </c>
      <c r="C100" s="25" t="s">
        <v>32</v>
      </c>
      <c r="D100" s="25" t="s">
        <v>15</v>
      </c>
      <c r="E100" s="25" t="s">
        <v>16</v>
      </c>
      <c r="F100" s="25">
        <v>605.88</v>
      </c>
      <c r="H100" s="26">
        <f t="shared" si="3"/>
        <v>605.88</v>
      </c>
      <c r="I100" s="25">
        <v>2019</v>
      </c>
      <c r="J100" s="25" t="s">
        <v>107</v>
      </c>
      <c r="K100" s="25" t="s">
        <v>108</v>
      </c>
    </row>
    <row r="101" spans="1:13" s="25" customFormat="1" ht="15">
      <c r="A101" s="25" t="s">
        <v>13</v>
      </c>
      <c r="B101" s="25" t="s">
        <v>52</v>
      </c>
      <c r="C101" s="25" t="s">
        <v>109</v>
      </c>
      <c r="D101" s="25" t="s">
        <v>15</v>
      </c>
      <c r="E101" s="24" t="s">
        <v>110</v>
      </c>
      <c r="F101" s="25">
        <v>330.51</v>
      </c>
      <c r="H101" s="26">
        <f t="shared" si="3"/>
        <v>330.51</v>
      </c>
      <c r="I101" s="25">
        <v>2019</v>
      </c>
      <c r="J101" s="25" t="s">
        <v>107</v>
      </c>
      <c r="K101" s="25" t="s">
        <v>108</v>
      </c>
      <c r="M101" s="25">
        <v>23</v>
      </c>
    </row>
    <row r="102" spans="1:13" s="25" customFormat="1" ht="15">
      <c r="A102" s="25" t="s">
        <v>13</v>
      </c>
      <c r="B102" s="25" t="s">
        <v>52</v>
      </c>
      <c r="C102" s="25" t="s">
        <v>111</v>
      </c>
      <c r="D102" s="25" t="s">
        <v>15</v>
      </c>
      <c r="E102" s="24" t="s">
        <v>110</v>
      </c>
      <c r="F102" s="25">
        <v>126.67</v>
      </c>
      <c r="H102" s="26">
        <f t="shared" si="3"/>
        <v>126.67</v>
      </c>
      <c r="I102" s="25">
        <v>2019</v>
      </c>
      <c r="J102" s="25" t="s">
        <v>107</v>
      </c>
      <c r="K102" s="30" t="s">
        <v>108</v>
      </c>
      <c r="M102" s="31">
        <v>40</v>
      </c>
    </row>
    <row r="103" spans="1:13" s="25" customFormat="1">
      <c r="A103" s="25" t="s">
        <v>13</v>
      </c>
      <c r="B103" s="25" t="s">
        <v>14</v>
      </c>
      <c r="C103" s="25" t="s">
        <v>14</v>
      </c>
      <c r="D103" s="25" t="s">
        <v>15</v>
      </c>
      <c r="E103" s="25" t="s">
        <v>16</v>
      </c>
      <c r="F103" s="25">
        <v>1637.26</v>
      </c>
      <c r="H103" s="26">
        <f t="shared" si="3"/>
        <v>1637.26</v>
      </c>
      <c r="I103" s="25">
        <v>2019</v>
      </c>
      <c r="J103" s="25" t="s">
        <v>107</v>
      </c>
      <c r="K103" s="25" t="s">
        <v>108</v>
      </c>
      <c r="M103" s="31">
        <v>330</v>
      </c>
    </row>
    <row r="104" spans="1:13" s="25" customFormat="1" ht="15">
      <c r="A104" s="25" t="s">
        <v>13</v>
      </c>
      <c r="B104" s="25" t="s">
        <v>112</v>
      </c>
      <c r="C104" s="25" t="s">
        <v>113</v>
      </c>
      <c r="D104" s="25" t="s">
        <v>15</v>
      </c>
      <c r="E104" s="24" t="s">
        <v>114</v>
      </c>
      <c r="F104" s="25">
        <v>2940.82</v>
      </c>
      <c r="H104" s="26">
        <f t="shared" si="3"/>
        <v>2940.82</v>
      </c>
      <c r="I104" s="25">
        <v>2019</v>
      </c>
      <c r="J104" s="25" t="s">
        <v>107</v>
      </c>
      <c r="K104" s="25" t="s">
        <v>108</v>
      </c>
    </row>
    <row r="105" spans="1:13" s="25" customFormat="1">
      <c r="A105" s="25" t="s">
        <v>13</v>
      </c>
      <c r="B105" s="25" t="s">
        <v>42</v>
      </c>
      <c r="C105" s="25" t="s">
        <v>115</v>
      </c>
      <c r="D105" s="25" t="s">
        <v>15</v>
      </c>
      <c r="E105" s="25" t="s">
        <v>16</v>
      </c>
      <c r="F105" s="25">
        <v>333.44</v>
      </c>
      <c r="H105" s="26">
        <f t="shared" si="3"/>
        <v>333.44</v>
      </c>
      <c r="I105" s="25">
        <v>2019</v>
      </c>
      <c r="J105" s="25" t="s">
        <v>107</v>
      </c>
      <c r="K105" s="25" t="s">
        <v>108</v>
      </c>
    </row>
    <row r="106" spans="1:13" s="25" customFormat="1">
      <c r="A106" s="25" t="s">
        <v>13</v>
      </c>
      <c r="B106" s="25" t="s">
        <v>116</v>
      </c>
      <c r="C106" s="25" t="s">
        <v>117</v>
      </c>
      <c r="D106" s="25" t="s">
        <v>15</v>
      </c>
      <c r="E106" s="25" t="s">
        <v>16</v>
      </c>
      <c r="F106" s="25">
        <v>265.07</v>
      </c>
      <c r="H106" s="26">
        <f t="shared" si="3"/>
        <v>265.07</v>
      </c>
      <c r="I106" s="25">
        <v>2019</v>
      </c>
      <c r="J106" s="25" t="s">
        <v>107</v>
      </c>
      <c r="K106" s="25" t="s">
        <v>108</v>
      </c>
    </row>
    <row r="107" spans="1:13" s="25" customFormat="1">
      <c r="A107" s="25" t="s">
        <v>13</v>
      </c>
      <c r="B107" s="25" t="s">
        <v>116</v>
      </c>
      <c r="C107" s="25" t="s">
        <v>118</v>
      </c>
      <c r="D107" s="25" t="s">
        <v>15</v>
      </c>
      <c r="E107" s="25" t="s">
        <v>16</v>
      </c>
      <c r="F107" s="25">
        <v>598.99</v>
      </c>
      <c r="H107" s="26">
        <f t="shared" si="3"/>
        <v>598.99</v>
      </c>
      <c r="I107" s="25">
        <v>2019</v>
      </c>
      <c r="J107" s="25" t="s">
        <v>107</v>
      </c>
      <c r="K107" s="25" t="s">
        <v>108</v>
      </c>
    </row>
    <row r="108" spans="1:13" s="25" customFormat="1">
      <c r="A108" s="25" t="s">
        <v>13</v>
      </c>
      <c r="B108" s="25" t="s">
        <v>116</v>
      </c>
      <c r="C108" s="25" t="s">
        <v>119</v>
      </c>
      <c r="D108" s="25" t="s">
        <v>15</v>
      </c>
      <c r="E108" s="25" t="s">
        <v>120</v>
      </c>
      <c r="F108" s="25">
        <v>68.709999999999994</v>
      </c>
      <c r="H108" s="26">
        <f t="shared" si="3"/>
        <v>68.709999999999994</v>
      </c>
      <c r="I108" s="25">
        <v>2019</v>
      </c>
      <c r="J108" s="25" t="s">
        <v>107</v>
      </c>
      <c r="K108" s="25" t="s">
        <v>108</v>
      </c>
    </row>
    <row r="109" spans="1:13" s="25" customFormat="1">
      <c r="A109" s="25" t="s">
        <v>13</v>
      </c>
      <c r="B109" s="25" t="s">
        <v>121</v>
      </c>
      <c r="C109" s="25" t="s">
        <v>121</v>
      </c>
      <c r="D109" s="25" t="s">
        <v>15</v>
      </c>
      <c r="E109" s="25" t="s">
        <v>122</v>
      </c>
      <c r="F109" s="25">
        <v>3522.76</v>
      </c>
      <c r="H109" s="26">
        <f t="shared" si="3"/>
        <v>3522.76</v>
      </c>
      <c r="I109" s="25">
        <v>2019</v>
      </c>
      <c r="J109" s="25" t="s">
        <v>107</v>
      </c>
      <c r="K109" s="25" t="s">
        <v>108</v>
      </c>
    </row>
    <row r="110" spans="1:13" s="25" customFormat="1">
      <c r="A110" s="25" t="s">
        <v>13</v>
      </c>
      <c r="B110" s="25" t="s">
        <v>98</v>
      </c>
      <c r="C110" s="25" t="s">
        <v>123</v>
      </c>
      <c r="D110" s="25" t="s">
        <v>15</v>
      </c>
      <c r="E110" s="25" t="s">
        <v>16</v>
      </c>
      <c r="F110" s="25">
        <v>0</v>
      </c>
      <c r="H110" s="26">
        <f t="shared" si="3"/>
        <v>0</v>
      </c>
      <c r="I110" s="25">
        <v>2019</v>
      </c>
      <c r="J110" s="25" t="s">
        <v>107</v>
      </c>
      <c r="K110" s="25" t="s">
        <v>108</v>
      </c>
    </row>
    <row r="111" spans="1:13" s="25" customFormat="1">
      <c r="A111" s="25" t="s">
        <v>13</v>
      </c>
      <c r="B111" s="25" t="s">
        <v>98</v>
      </c>
      <c r="C111" s="25" t="s">
        <v>99</v>
      </c>
      <c r="D111" s="25" t="s">
        <v>15</v>
      </c>
      <c r="E111" s="25" t="s">
        <v>16</v>
      </c>
      <c r="F111" s="25">
        <v>0</v>
      </c>
      <c r="H111" s="26">
        <f t="shared" si="3"/>
        <v>0</v>
      </c>
      <c r="I111" s="25">
        <v>2019</v>
      </c>
      <c r="J111" s="25" t="s">
        <v>107</v>
      </c>
      <c r="K111" s="25" t="s">
        <v>108</v>
      </c>
    </row>
    <row r="112" spans="1:13" s="25" customFormat="1">
      <c r="A112" s="25" t="s">
        <v>13</v>
      </c>
      <c r="B112" s="25" t="s">
        <v>98</v>
      </c>
      <c r="C112" s="25" t="s">
        <v>102</v>
      </c>
      <c r="D112" s="25" t="s">
        <v>15</v>
      </c>
      <c r="E112" s="25" t="s">
        <v>16</v>
      </c>
      <c r="F112" s="25">
        <v>0</v>
      </c>
      <c r="H112" s="26">
        <f t="shared" si="3"/>
        <v>0</v>
      </c>
      <c r="I112" s="25">
        <v>2019</v>
      </c>
      <c r="J112" s="25" t="s">
        <v>107</v>
      </c>
      <c r="K112" s="25" t="s">
        <v>108</v>
      </c>
    </row>
    <row r="113" spans="1:11" s="25" customFormat="1" ht="15">
      <c r="A113" s="25" t="s">
        <v>13</v>
      </c>
      <c r="B113" s="25" t="s">
        <v>98</v>
      </c>
      <c r="C113" s="25" t="s">
        <v>124</v>
      </c>
      <c r="D113" s="25" t="s">
        <v>15</v>
      </c>
      <c r="E113" s="24" t="s">
        <v>125</v>
      </c>
      <c r="F113" s="25">
        <v>0</v>
      </c>
      <c r="H113" s="26">
        <f t="shared" si="3"/>
        <v>0</v>
      </c>
      <c r="I113" s="25">
        <v>2019</v>
      </c>
      <c r="J113" s="25" t="s">
        <v>107</v>
      </c>
      <c r="K113" s="25" t="s">
        <v>108</v>
      </c>
    </row>
    <row r="114" spans="1:11" s="25" customFormat="1">
      <c r="A114" s="25" t="s">
        <v>13</v>
      </c>
      <c r="B114" s="25" t="s">
        <v>126</v>
      </c>
      <c r="C114" s="25" t="s">
        <v>127</v>
      </c>
      <c r="D114" s="25" t="s">
        <v>15</v>
      </c>
      <c r="E114" s="25" t="s">
        <v>122</v>
      </c>
      <c r="F114" s="25">
        <v>13604.09</v>
      </c>
      <c r="H114" s="26">
        <f t="shared" si="3"/>
        <v>13604.09</v>
      </c>
      <c r="I114" s="25">
        <v>2019</v>
      </c>
      <c r="J114" s="25" t="s">
        <v>107</v>
      </c>
      <c r="K114" s="25" t="s">
        <v>108</v>
      </c>
    </row>
    <row r="115" spans="1:11" s="25" customFormat="1">
      <c r="A115" s="25" t="s">
        <v>13</v>
      </c>
      <c r="B115" s="25" t="s">
        <v>126</v>
      </c>
      <c r="C115" s="25" t="s">
        <v>128</v>
      </c>
      <c r="D115" s="25" t="s">
        <v>15</v>
      </c>
      <c r="E115" s="25" t="s">
        <v>122</v>
      </c>
      <c r="F115" s="25">
        <v>3584.44</v>
      </c>
      <c r="H115" s="26">
        <f t="shared" si="3"/>
        <v>3584.44</v>
      </c>
      <c r="I115" s="25">
        <v>2019</v>
      </c>
      <c r="J115" s="25" t="s">
        <v>107</v>
      </c>
      <c r="K115" s="25" t="s">
        <v>108</v>
      </c>
    </row>
    <row r="116" spans="1:11" s="25" customFormat="1">
      <c r="A116" s="25" t="s">
        <v>13</v>
      </c>
      <c r="B116" s="25" t="s">
        <v>126</v>
      </c>
      <c r="C116" s="25" t="s">
        <v>129</v>
      </c>
      <c r="D116" s="25" t="s">
        <v>15</v>
      </c>
      <c r="E116" s="25" t="s">
        <v>122</v>
      </c>
      <c r="F116" s="25">
        <v>639.09</v>
      </c>
      <c r="H116" s="26">
        <f t="shared" si="3"/>
        <v>639.09</v>
      </c>
      <c r="I116" s="25">
        <v>2019</v>
      </c>
      <c r="J116" s="25" t="s">
        <v>107</v>
      </c>
      <c r="K116" s="25" t="s">
        <v>108</v>
      </c>
    </row>
    <row r="117" spans="1:11" s="25" customFormat="1">
      <c r="A117" s="25" t="s">
        <v>13</v>
      </c>
      <c r="B117" s="25" t="s">
        <v>126</v>
      </c>
      <c r="C117" s="25" t="s">
        <v>130</v>
      </c>
      <c r="D117" s="25" t="s">
        <v>15</v>
      </c>
      <c r="E117" s="25" t="s">
        <v>122</v>
      </c>
      <c r="F117" s="25">
        <v>0</v>
      </c>
      <c r="H117" s="26">
        <f t="shared" si="3"/>
        <v>0</v>
      </c>
      <c r="I117" s="25">
        <v>2019</v>
      </c>
      <c r="J117" s="25" t="s">
        <v>107</v>
      </c>
      <c r="K117" s="25" t="s">
        <v>108</v>
      </c>
    </row>
    <row r="118" spans="1:11" s="25" customFormat="1">
      <c r="A118" s="25" t="s">
        <v>13</v>
      </c>
      <c r="B118" s="25" t="s">
        <v>126</v>
      </c>
      <c r="C118" s="25" t="s">
        <v>131</v>
      </c>
      <c r="D118" s="25" t="s">
        <v>15</v>
      </c>
      <c r="E118" s="25" t="s">
        <v>122</v>
      </c>
      <c r="F118" s="25">
        <v>8032.98</v>
      </c>
      <c r="H118" s="26">
        <f t="shared" si="3"/>
        <v>8032.98</v>
      </c>
      <c r="I118" s="25">
        <v>2019</v>
      </c>
      <c r="J118" s="25" t="s">
        <v>107</v>
      </c>
      <c r="K118" s="25" t="s">
        <v>108</v>
      </c>
    </row>
    <row r="119" spans="1:11" s="25" customFormat="1">
      <c r="A119" s="25" t="s">
        <v>13</v>
      </c>
      <c r="B119" s="25" t="s">
        <v>20</v>
      </c>
      <c r="C119" s="25" t="s">
        <v>21</v>
      </c>
      <c r="D119" s="25" t="s">
        <v>15</v>
      </c>
      <c r="E119" s="25" t="s">
        <v>16</v>
      </c>
      <c r="F119" s="25">
        <v>17</v>
      </c>
      <c r="H119" s="26">
        <f t="shared" si="3"/>
        <v>17</v>
      </c>
      <c r="I119" s="25">
        <v>2019</v>
      </c>
      <c r="J119" s="25" t="s">
        <v>107</v>
      </c>
      <c r="K119" s="25" t="s">
        <v>108</v>
      </c>
    </row>
    <row r="120" spans="1:11" s="25" customFormat="1">
      <c r="A120" s="25" t="s">
        <v>13</v>
      </c>
      <c r="B120" s="25" t="s">
        <v>52</v>
      </c>
      <c r="C120" s="25" t="s">
        <v>53</v>
      </c>
      <c r="D120" s="25" t="s">
        <v>15</v>
      </c>
      <c r="E120" s="25" t="s">
        <v>16</v>
      </c>
      <c r="F120" s="25">
        <v>735.62</v>
      </c>
      <c r="H120" s="26">
        <f t="shared" si="3"/>
        <v>735.62</v>
      </c>
      <c r="I120" s="25">
        <v>2019</v>
      </c>
      <c r="J120" s="25" t="s">
        <v>107</v>
      </c>
      <c r="K120" s="25" t="s">
        <v>108</v>
      </c>
    </row>
    <row r="121" spans="1:11" s="25" customFormat="1">
      <c r="A121" s="25" t="s">
        <v>13</v>
      </c>
      <c r="B121" s="25" t="s">
        <v>52</v>
      </c>
      <c r="C121" s="25" t="s">
        <v>56</v>
      </c>
      <c r="D121" s="25" t="s">
        <v>15</v>
      </c>
      <c r="E121" s="25" t="s">
        <v>16</v>
      </c>
      <c r="F121" s="25">
        <v>135.52000000000001</v>
      </c>
      <c r="H121" s="26">
        <f t="shared" si="3"/>
        <v>135.52000000000001</v>
      </c>
      <c r="I121" s="25">
        <v>2019</v>
      </c>
      <c r="J121" s="25" t="s">
        <v>107</v>
      </c>
      <c r="K121" s="25" t="s">
        <v>108</v>
      </c>
    </row>
    <row r="122" spans="1:11" s="25" customFormat="1">
      <c r="A122" s="25" t="s">
        <v>13</v>
      </c>
      <c r="B122" s="25" t="s">
        <v>58</v>
      </c>
      <c r="C122" s="25" t="s">
        <v>132</v>
      </c>
      <c r="D122" s="25" t="s">
        <v>15</v>
      </c>
      <c r="E122" s="25" t="s">
        <v>16</v>
      </c>
      <c r="F122" s="25">
        <v>21.22</v>
      </c>
      <c r="H122" s="26">
        <f t="shared" si="3"/>
        <v>21.22</v>
      </c>
      <c r="I122" s="25">
        <v>2019</v>
      </c>
      <c r="J122" s="25" t="s">
        <v>107</v>
      </c>
      <c r="K122" s="25" t="s">
        <v>108</v>
      </c>
    </row>
    <row r="123" spans="1:11" s="25" customFormat="1">
      <c r="A123" s="25" t="s">
        <v>77</v>
      </c>
      <c r="B123" s="25" t="s">
        <v>31</v>
      </c>
      <c r="C123" s="25" t="s">
        <v>35</v>
      </c>
      <c r="D123" s="25" t="s">
        <v>15</v>
      </c>
      <c r="E123" s="25" t="s">
        <v>16</v>
      </c>
      <c r="F123" s="25">
        <v>2201.54</v>
      </c>
      <c r="H123" s="26">
        <f t="shared" si="3"/>
        <v>2201.54</v>
      </c>
      <c r="I123" s="25">
        <v>2019</v>
      </c>
      <c r="J123" s="25" t="s">
        <v>107</v>
      </c>
      <c r="K123" s="25" t="s">
        <v>108</v>
      </c>
    </row>
    <row r="124" spans="1:11" s="25" customFormat="1">
      <c r="A124" s="25" t="s">
        <v>77</v>
      </c>
      <c r="B124" s="25" t="s">
        <v>31</v>
      </c>
      <c r="C124" s="25" t="s">
        <v>32</v>
      </c>
      <c r="D124" s="25" t="s">
        <v>15</v>
      </c>
      <c r="E124" s="25" t="s">
        <v>16</v>
      </c>
      <c r="F124" s="25">
        <v>2988.17</v>
      </c>
      <c r="H124" s="26">
        <f t="shared" si="3"/>
        <v>2988.17</v>
      </c>
      <c r="I124" s="25">
        <v>2019</v>
      </c>
      <c r="J124" s="25" t="s">
        <v>107</v>
      </c>
      <c r="K124" s="25" t="s">
        <v>108</v>
      </c>
    </row>
    <row r="125" spans="1:11" s="25" customFormat="1" ht="15">
      <c r="A125" s="25" t="s">
        <v>77</v>
      </c>
      <c r="B125" s="25" t="s">
        <v>52</v>
      </c>
      <c r="C125" s="25" t="s">
        <v>109</v>
      </c>
      <c r="D125" s="25" t="s">
        <v>15</v>
      </c>
      <c r="E125" s="24" t="s">
        <v>110</v>
      </c>
      <c r="F125" s="25">
        <v>1748.47</v>
      </c>
      <c r="H125" s="26">
        <f t="shared" si="3"/>
        <v>1748.47</v>
      </c>
      <c r="I125" s="25">
        <v>2019</v>
      </c>
      <c r="J125" s="25" t="s">
        <v>107</v>
      </c>
      <c r="K125" s="25" t="s">
        <v>108</v>
      </c>
    </row>
    <row r="126" spans="1:11" s="25" customFormat="1" ht="15">
      <c r="A126" s="25" t="s">
        <v>77</v>
      </c>
      <c r="B126" s="25" t="s">
        <v>52</v>
      </c>
      <c r="C126" s="25" t="s">
        <v>111</v>
      </c>
      <c r="D126" s="25" t="s">
        <v>15</v>
      </c>
      <c r="E126" s="24" t="s">
        <v>110</v>
      </c>
      <c r="F126" s="25">
        <v>670.13</v>
      </c>
      <c r="H126" s="26">
        <f t="shared" si="3"/>
        <v>670.13</v>
      </c>
      <c r="I126" s="25">
        <v>2019</v>
      </c>
      <c r="J126" s="25" t="s">
        <v>107</v>
      </c>
      <c r="K126" s="25" t="s">
        <v>108</v>
      </c>
    </row>
    <row r="127" spans="1:11" s="25" customFormat="1">
      <c r="A127" s="25" t="s">
        <v>77</v>
      </c>
      <c r="B127" s="25" t="s">
        <v>14</v>
      </c>
      <c r="C127" s="25" t="s">
        <v>14</v>
      </c>
      <c r="D127" s="25" t="s">
        <v>15</v>
      </c>
      <c r="E127" s="25" t="s">
        <v>16</v>
      </c>
      <c r="F127" s="25">
        <v>3077.1</v>
      </c>
      <c r="H127" s="26">
        <f t="shared" si="3"/>
        <v>3077.1</v>
      </c>
      <c r="I127" s="25">
        <v>2019</v>
      </c>
      <c r="J127" s="25" t="s">
        <v>107</v>
      </c>
      <c r="K127" s="25" t="s">
        <v>108</v>
      </c>
    </row>
    <row r="128" spans="1:11" s="25" customFormat="1" ht="15">
      <c r="A128" s="25" t="s">
        <v>77</v>
      </c>
      <c r="B128" s="25" t="s">
        <v>112</v>
      </c>
      <c r="C128" s="25" t="s">
        <v>113</v>
      </c>
      <c r="D128" s="25" t="s">
        <v>15</v>
      </c>
      <c r="E128" s="24" t="s">
        <v>114</v>
      </c>
      <c r="F128" s="25">
        <v>5527.03</v>
      </c>
      <c r="H128" s="26">
        <f t="shared" si="3"/>
        <v>5527.03</v>
      </c>
      <c r="I128" s="25">
        <v>2019</v>
      </c>
      <c r="J128" s="25" t="s">
        <v>107</v>
      </c>
      <c r="K128" s="25" t="s">
        <v>108</v>
      </c>
    </row>
    <row r="129" spans="1:11" s="25" customFormat="1">
      <c r="A129" s="25" t="s">
        <v>77</v>
      </c>
      <c r="B129" s="25" t="s">
        <v>42</v>
      </c>
      <c r="C129" s="25" t="s">
        <v>115</v>
      </c>
      <c r="D129" s="25" t="s">
        <v>15</v>
      </c>
      <c r="E129" s="25" t="s">
        <v>16</v>
      </c>
      <c r="F129" s="25">
        <v>626.66</v>
      </c>
      <c r="H129" s="26">
        <f t="shared" si="3"/>
        <v>626.66</v>
      </c>
      <c r="I129" s="25">
        <v>2019</v>
      </c>
      <c r="J129" s="25" t="s">
        <v>107</v>
      </c>
      <c r="K129" s="25" t="s">
        <v>108</v>
      </c>
    </row>
    <row r="130" spans="1:11" s="25" customFormat="1">
      <c r="A130" s="25" t="s">
        <v>77</v>
      </c>
      <c r="B130" s="25" t="s">
        <v>116</v>
      </c>
      <c r="C130" s="25" t="s">
        <v>117</v>
      </c>
      <c r="D130" s="25" t="s">
        <v>15</v>
      </c>
      <c r="E130" s="25" t="s">
        <v>16</v>
      </c>
      <c r="F130" s="25">
        <v>2025.53</v>
      </c>
      <c r="H130" s="26">
        <f t="shared" si="3"/>
        <v>2025.53</v>
      </c>
      <c r="I130" s="25">
        <v>2019</v>
      </c>
      <c r="J130" s="25" t="s">
        <v>107</v>
      </c>
      <c r="K130" s="25" t="s">
        <v>108</v>
      </c>
    </row>
    <row r="131" spans="1:11" s="25" customFormat="1">
      <c r="A131" s="25" t="s">
        <v>77</v>
      </c>
      <c r="B131" s="25" t="s">
        <v>116</v>
      </c>
      <c r="C131" s="25" t="s">
        <v>118</v>
      </c>
      <c r="D131" s="25" t="s">
        <v>15</v>
      </c>
      <c r="E131" s="25" t="s">
        <v>16</v>
      </c>
      <c r="F131" s="25">
        <v>4577.2</v>
      </c>
      <c r="H131" s="26">
        <f t="shared" si="3"/>
        <v>4577.2</v>
      </c>
      <c r="I131" s="25">
        <v>2019</v>
      </c>
      <c r="J131" s="25" t="s">
        <v>107</v>
      </c>
      <c r="K131" s="25" t="s">
        <v>108</v>
      </c>
    </row>
    <row r="132" spans="1:11" s="25" customFormat="1" ht="15">
      <c r="A132" s="25" t="s">
        <v>77</v>
      </c>
      <c r="B132" s="25" t="s">
        <v>116</v>
      </c>
      <c r="C132" s="25" t="s">
        <v>119</v>
      </c>
      <c r="D132" s="25" t="s">
        <v>15</v>
      </c>
      <c r="E132" s="24" t="s">
        <v>120</v>
      </c>
      <c r="F132" s="25">
        <v>525.03</v>
      </c>
      <c r="H132" s="26">
        <f t="shared" si="3"/>
        <v>525.03</v>
      </c>
      <c r="I132" s="25">
        <v>2019</v>
      </c>
      <c r="J132" s="25" t="s">
        <v>107</v>
      </c>
      <c r="K132" s="25" t="s">
        <v>108</v>
      </c>
    </row>
    <row r="133" spans="1:11" s="25" customFormat="1">
      <c r="A133" s="25" t="s">
        <v>77</v>
      </c>
      <c r="B133" s="25" t="s">
        <v>121</v>
      </c>
      <c r="C133" s="25" t="s">
        <v>121</v>
      </c>
      <c r="D133" s="25" t="s">
        <v>15</v>
      </c>
      <c r="E133" s="25" t="s">
        <v>122</v>
      </c>
      <c r="F133" s="25">
        <v>23956.37</v>
      </c>
      <c r="H133" s="26">
        <f t="shared" si="3"/>
        <v>23956.37</v>
      </c>
      <c r="I133" s="25">
        <v>2019</v>
      </c>
      <c r="J133" s="25" t="s">
        <v>107</v>
      </c>
      <c r="K133" s="25" t="s">
        <v>108</v>
      </c>
    </row>
    <row r="134" spans="1:11" s="25" customFormat="1">
      <c r="A134" s="25" t="s">
        <v>77</v>
      </c>
      <c r="B134" s="25" t="s">
        <v>98</v>
      </c>
      <c r="C134" s="25" t="s">
        <v>123</v>
      </c>
      <c r="D134" s="25" t="s">
        <v>15</v>
      </c>
      <c r="E134" s="25" t="s">
        <v>16</v>
      </c>
      <c r="F134" s="25">
        <v>0</v>
      </c>
      <c r="H134" s="26">
        <f t="shared" si="3"/>
        <v>0</v>
      </c>
      <c r="I134" s="25">
        <v>2019</v>
      </c>
      <c r="J134" s="25" t="s">
        <v>107</v>
      </c>
      <c r="K134" s="25" t="s">
        <v>108</v>
      </c>
    </row>
    <row r="135" spans="1:11" s="25" customFormat="1">
      <c r="A135" s="25" t="s">
        <v>77</v>
      </c>
      <c r="B135" s="25" t="s">
        <v>98</v>
      </c>
      <c r="C135" s="25" t="s">
        <v>99</v>
      </c>
      <c r="D135" s="25" t="s">
        <v>15</v>
      </c>
      <c r="E135" s="25" t="s">
        <v>16</v>
      </c>
      <c r="F135" s="25">
        <v>0</v>
      </c>
      <c r="H135" s="26">
        <f t="shared" si="3"/>
        <v>0</v>
      </c>
      <c r="I135" s="25">
        <v>2019</v>
      </c>
      <c r="J135" s="25" t="s">
        <v>107</v>
      </c>
      <c r="K135" s="25" t="s">
        <v>108</v>
      </c>
    </row>
    <row r="136" spans="1:11" s="25" customFormat="1">
      <c r="A136" s="25" t="s">
        <v>77</v>
      </c>
      <c r="B136" s="25" t="s">
        <v>98</v>
      </c>
      <c r="C136" s="25" t="s">
        <v>102</v>
      </c>
      <c r="D136" s="25" t="s">
        <v>15</v>
      </c>
      <c r="E136" s="25" t="s">
        <v>16</v>
      </c>
      <c r="F136" s="25">
        <v>0</v>
      </c>
      <c r="H136" s="26">
        <f t="shared" si="3"/>
        <v>0</v>
      </c>
      <c r="I136" s="25">
        <v>2019</v>
      </c>
      <c r="J136" s="25" t="s">
        <v>107</v>
      </c>
      <c r="K136" s="25" t="s">
        <v>108</v>
      </c>
    </row>
    <row r="137" spans="1:11" s="25" customFormat="1" ht="15">
      <c r="A137" s="25" t="s">
        <v>77</v>
      </c>
      <c r="B137" s="25" t="s">
        <v>98</v>
      </c>
      <c r="C137" s="25" t="s">
        <v>124</v>
      </c>
      <c r="D137" s="25" t="s">
        <v>15</v>
      </c>
      <c r="E137" s="24" t="s">
        <v>125</v>
      </c>
      <c r="F137" s="25">
        <v>0</v>
      </c>
      <c r="H137" s="26">
        <f t="shared" si="3"/>
        <v>0</v>
      </c>
      <c r="I137" s="25">
        <v>2019</v>
      </c>
      <c r="J137" s="25" t="s">
        <v>107</v>
      </c>
      <c r="K137" s="25" t="s">
        <v>108</v>
      </c>
    </row>
    <row r="138" spans="1:11" s="25" customFormat="1">
      <c r="A138" s="25" t="s">
        <v>77</v>
      </c>
      <c r="B138" s="25" t="s">
        <v>126</v>
      </c>
      <c r="C138" s="25" t="s">
        <v>127</v>
      </c>
      <c r="D138" s="25" t="s">
        <v>15</v>
      </c>
      <c r="E138" s="25" t="s">
        <v>122</v>
      </c>
      <c r="F138" s="25">
        <v>41261.53</v>
      </c>
      <c r="H138" s="26">
        <f t="shared" si="3"/>
        <v>41261.53</v>
      </c>
      <c r="I138" s="25">
        <v>2019</v>
      </c>
      <c r="J138" s="25" t="s">
        <v>107</v>
      </c>
      <c r="K138" s="25" t="s">
        <v>108</v>
      </c>
    </row>
    <row r="139" spans="1:11" s="25" customFormat="1">
      <c r="A139" s="25" t="s">
        <v>77</v>
      </c>
      <c r="B139" s="25" t="s">
        <v>126</v>
      </c>
      <c r="C139" s="25" t="s">
        <v>128</v>
      </c>
      <c r="D139" s="25" t="s">
        <v>15</v>
      </c>
      <c r="E139" s="25" t="s">
        <v>122</v>
      </c>
      <c r="F139" s="25">
        <v>75280.94</v>
      </c>
      <c r="H139" s="26">
        <f t="shared" ref="H139:H170" si="4">F139</f>
        <v>75280.94</v>
      </c>
      <c r="I139" s="25">
        <v>2019</v>
      </c>
      <c r="J139" s="25" t="s">
        <v>107</v>
      </c>
      <c r="K139" s="25" t="s">
        <v>108</v>
      </c>
    </row>
    <row r="140" spans="1:11" s="25" customFormat="1">
      <c r="A140" s="25" t="s">
        <v>77</v>
      </c>
      <c r="B140" s="25" t="s">
        <v>126</v>
      </c>
      <c r="C140" s="25" t="s">
        <v>129</v>
      </c>
      <c r="D140" s="25" t="s">
        <v>15</v>
      </c>
      <c r="E140" s="25" t="s">
        <v>122</v>
      </c>
      <c r="F140" s="25">
        <v>9402.5</v>
      </c>
      <c r="H140" s="26">
        <f t="shared" si="4"/>
        <v>9402.5</v>
      </c>
      <c r="I140" s="25">
        <v>2019</v>
      </c>
      <c r="J140" s="25" t="s">
        <v>107</v>
      </c>
      <c r="K140" s="25" t="s">
        <v>108</v>
      </c>
    </row>
    <row r="141" spans="1:11" s="25" customFormat="1">
      <c r="A141" s="25" t="s">
        <v>77</v>
      </c>
      <c r="B141" s="25" t="s">
        <v>126</v>
      </c>
      <c r="C141" s="25" t="s">
        <v>130</v>
      </c>
      <c r="D141" s="25" t="s">
        <v>15</v>
      </c>
      <c r="E141" s="25" t="s">
        <v>122</v>
      </c>
      <c r="F141" s="25">
        <v>334.64</v>
      </c>
      <c r="H141" s="26">
        <f t="shared" si="4"/>
        <v>334.64</v>
      </c>
      <c r="I141" s="25">
        <v>2019</v>
      </c>
      <c r="J141" s="25" t="s">
        <v>107</v>
      </c>
      <c r="K141" s="25" t="s">
        <v>108</v>
      </c>
    </row>
    <row r="142" spans="1:11" s="25" customFormat="1">
      <c r="A142" s="25" t="s">
        <v>77</v>
      </c>
      <c r="B142" s="25" t="s">
        <v>126</v>
      </c>
      <c r="C142" s="25" t="s">
        <v>131</v>
      </c>
      <c r="D142" s="25" t="s">
        <v>15</v>
      </c>
      <c r="E142" s="25" t="s">
        <v>122</v>
      </c>
      <c r="F142" s="25">
        <v>170589.19</v>
      </c>
      <c r="H142" s="26">
        <f t="shared" si="4"/>
        <v>170589.19</v>
      </c>
      <c r="I142" s="25">
        <v>2019</v>
      </c>
      <c r="J142" s="25" t="s">
        <v>107</v>
      </c>
      <c r="K142" s="25" t="s">
        <v>108</v>
      </c>
    </row>
    <row r="143" spans="1:11" s="25" customFormat="1">
      <c r="A143" s="25" t="s">
        <v>77</v>
      </c>
      <c r="B143" s="25" t="s">
        <v>20</v>
      </c>
      <c r="C143" s="25" t="s">
        <v>21</v>
      </c>
      <c r="D143" s="25" t="s">
        <v>15</v>
      </c>
      <c r="E143" s="25" t="s">
        <v>16</v>
      </c>
      <c r="F143" s="25">
        <v>959.29</v>
      </c>
      <c r="H143" s="26">
        <f t="shared" si="4"/>
        <v>959.29</v>
      </c>
      <c r="I143" s="25">
        <v>2019</v>
      </c>
      <c r="J143" s="25" t="s">
        <v>107</v>
      </c>
      <c r="K143" s="25" t="s">
        <v>108</v>
      </c>
    </row>
    <row r="144" spans="1:11" s="25" customFormat="1">
      <c r="A144" s="25" t="s">
        <v>77</v>
      </c>
      <c r="B144" s="25" t="s">
        <v>52</v>
      </c>
      <c r="C144" s="25" t="s">
        <v>53</v>
      </c>
      <c r="D144" s="25" t="s">
        <v>15</v>
      </c>
      <c r="E144" s="25" t="s">
        <v>16</v>
      </c>
      <c r="F144" s="25">
        <v>3236.42</v>
      </c>
      <c r="H144" s="26">
        <f t="shared" si="4"/>
        <v>3236.42</v>
      </c>
      <c r="I144" s="25">
        <v>2019</v>
      </c>
      <c r="J144" s="25" t="s">
        <v>107</v>
      </c>
      <c r="K144" s="25" t="s">
        <v>108</v>
      </c>
    </row>
    <row r="145" spans="1:11" s="25" customFormat="1">
      <c r="A145" s="25" t="s">
        <v>77</v>
      </c>
      <c r="B145" s="25" t="s">
        <v>52</v>
      </c>
      <c r="C145" s="25" t="s">
        <v>56</v>
      </c>
      <c r="D145" s="25" t="s">
        <v>15</v>
      </c>
      <c r="E145" s="25" t="s">
        <v>16</v>
      </c>
      <c r="F145" s="25">
        <v>596.25</v>
      </c>
      <c r="H145" s="26">
        <f t="shared" si="4"/>
        <v>596.25</v>
      </c>
      <c r="I145" s="25">
        <v>2019</v>
      </c>
      <c r="J145" s="25" t="s">
        <v>107</v>
      </c>
      <c r="K145" s="25" t="s">
        <v>108</v>
      </c>
    </row>
    <row r="146" spans="1:11" s="25" customFormat="1">
      <c r="A146" s="25" t="s">
        <v>77</v>
      </c>
      <c r="B146" s="25" t="s">
        <v>58</v>
      </c>
      <c r="C146" s="25" t="s">
        <v>132</v>
      </c>
      <c r="D146" s="25" t="s">
        <v>15</v>
      </c>
      <c r="E146" s="25" t="s">
        <v>16</v>
      </c>
      <c r="F146" s="25">
        <v>93.36</v>
      </c>
      <c r="H146" s="26">
        <f t="shared" si="4"/>
        <v>93.36</v>
      </c>
      <c r="I146" s="25">
        <v>2019</v>
      </c>
      <c r="J146" s="25" t="s">
        <v>107</v>
      </c>
      <c r="K146" s="25" t="s">
        <v>108</v>
      </c>
    </row>
    <row r="147" spans="1:11" s="25" customFormat="1">
      <c r="A147" s="25" t="s">
        <v>62</v>
      </c>
      <c r="B147" s="25" t="s">
        <v>31</v>
      </c>
      <c r="C147" s="25" t="s">
        <v>35</v>
      </c>
      <c r="D147" s="25" t="s">
        <v>15</v>
      </c>
      <c r="E147" s="25" t="s">
        <v>16</v>
      </c>
      <c r="F147" s="25">
        <v>1857.21</v>
      </c>
      <c r="H147" s="26">
        <f t="shared" si="4"/>
        <v>1857.21</v>
      </c>
      <c r="I147" s="25">
        <v>2019</v>
      </c>
      <c r="J147" s="25" t="s">
        <v>107</v>
      </c>
      <c r="K147" s="25" t="s">
        <v>108</v>
      </c>
    </row>
    <row r="148" spans="1:11" s="25" customFormat="1">
      <c r="A148" s="25" t="s">
        <v>62</v>
      </c>
      <c r="B148" s="25" t="s">
        <v>31</v>
      </c>
      <c r="C148" s="25" t="s">
        <v>32</v>
      </c>
      <c r="D148" s="25" t="s">
        <v>15</v>
      </c>
      <c r="E148" s="25" t="s">
        <v>16</v>
      </c>
      <c r="F148" s="25">
        <v>2520.8000000000002</v>
      </c>
      <c r="H148" s="26">
        <f t="shared" si="4"/>
        <v>2520.8000000000002</v>
      </c>
      <c r="I148" s="25">
        <v>2019</v>
      </c>
      <c r="J148" s="25" t="s">
        <v>107</v>
      </c>
      <c r="K148" s="25" t="s">
        <v>108</v>
      </c>
    </row>
    <row r="149" spans="1:11" s="25" customFormat="1" ht="15">
      <c r="A149" s="25" t="s">
        <v>62</v>
      </c>
      <c r="B149" s="25" t="s">
        <v>52</v>
      </c>
      <c r="C149" s="25" t="s">
        <v>109</v>
      </c>
      <c r="D149" s="25" t="s">
        <v>15</v>
      </c>
      <c r="E149" s="24" t="s">
        <v>110</v>
      </c>
      <c r="F149" s="25">
        <v>764.87</v>
      </c>
      <c r="H149" s="26">
        <f t="shared" si="4"/>
        <v>764.87</v>
      </c>
      <c r="I149" s="25">
        <v>2019</v>
      </c>
      <c r="J149" s="25" t="s">
        <v>107</v>
      </c>
      <c r="K149" s="25" t="s">
        <v>108</v>
      </c>
    </row>
    <row r="150" spans="1:11" s="25" customFormat="1" ht="15">
      <c r="A150" s="25" t="s">
        <v>62</v>
      </c>
      <c r="B150" s="25" t="s">
        <v>52</v>
      </c>
      <c r="C150" s="25" t="s">
        <v>111</v>
      </c>
      <c r="D150" s="25" t="s">
        <v>15</v>
      </c>
      <c r="E150" s="24" t="s">
        <v>110</v>
      </c>
      <c r="F150" s="25">
        <v>293.14999999999998</v>
      </c>
      <c r="H150" s="26">
        <f t="shared" si="4"/>
        <v>293.14999999999998</v>
      </c>
      <c r="I150" s="25">
        <v>2019</v>
      </c>
      <c r="J150" s="25" t="s">
        <v>107</v>
      </c>
      <c r="K150" s="25" t="s">
        <v>108</v>
      </c>
    </row>
    <row r="151" spans="1:11" s="25" customFormat="1">
      <c r="A151" s="25" t="s">
        <v>62</v>
      </c>
      <c r="B151" s="25" t="s">
        <v>14</v>
      </c>
      <c r="C151" s="25" t="s">
        <v>14</v>
      </c>
      <c r="D151" s="25" t="s">
        <v>15</v>
      </c>
      <c r="E151" s="25" t="s">
        <v>16</v>
      </c>
      <c r="F151" s="25">
        <v>10122.93</v>
      </c>
      <c r="H151" s="26">
        <f t="shared" si="4"/>
        <v>10122.93</v>
      </c>
      <c r="I151" s="25">
        <v>2019</v>
      </c>
      <c r="J151" s="25" t="s">
        <v>107</v>
      </c>
      <c r="K151" s="25" t="s">
        <v>108</v>
      </c>
    </row>
    <row r="152" spans="1:11" s="25" customFormat="1" ht="15">
      <c r="A152" s="25" t="s">
        <v>62</v>
      </c>
      <c r="B152" s="25" t="s">
        <v>112</v>
      </c>
      <c r="C152" s="25" t="s">
        <v>113</v>
      </c>
      <c r="D152" s="25" t="s">
        <v>15</v>
      </c>
      <c r="E152" s="24" t="s">
        <v>114</v>
      </c>
      <c r="F152" s="25">
        <v>18182.62</v>
      </c>
      <c r="H152" s="26">
        <f t="shared" si="4"/>
        <v>18182.62</v>
      </c>
      <c r="I152" s="25">
        <v>2019</v>
      </c>
      <c r="J152" s="25" t="s">
        <v>107</v>
      </c>
      <c r="K152" s="25" t="s">
        <v>108</v>
      </c>
    </row>
    <row r="153" spans="1:11" s="25" customFormat="1">
      <c r="A153" s="25" t="s">
        <v>62</v>
      </c>
      <c r="B153" s="25" t="s">
        <v>42</v>
      </c>
      <c r="C153" s="25" t="s">
        <v>115</v>
      </c>
      <c r="D153" s="25" t="s">
        <v>15</v>
      </c>
      <c r="E153" s="25" t="s">
        <v>16</v>
      </c>
      <c r="F153" s="25">
        <v>2061.58</v>
      </c>
      <c r="H153" s="26">
        <f t="shared" si="4"/>
        <v>2061.58</v>
      </c>
      <c r="I153" s="25">
        <v>2019</v>
      </c>
      <c r="J153" s="25" t="s">
        <v>107</v>
      </c>
      <c r="K153" s="25" t="s">
        <v>108</v>
      </c>
    </row>
    <row r="154" spans="1:11" s="25" customFormat="1">
      <c r="A154" s="25" t="s">
        <v>62</v>
      </c>
      <c r="B154" s="25" t="s">
        <v>116</v>
      </c>
      <c r="C154" s="25" t="s">
        <v>117</v>
      </c>
      <c r="D154" s="25" t="s">
        <v>15</v>
      </c>
      <c r="E154" s="25" t="s">
        <v>16</v>
      </c>
      <c r="F154" s="25">
        <v>537.86</v>
      </c>
      <c r="H154" s="26">
        <f t="shared" si="4"/>
        <v>537.86</v>
      </c>
      <c r="I154" s="25">
        <v>2019</v>
      </c>
      <c r="J154" s="25" t="s">
        <v>107</v>
      </c>
      <c r="K154" s="25" t="s">
        <v>108</v>
      </c>
    </row>
    <row r="155" spans="1:11" s="25" customFormat="1" ht="15">
      <c r="A155" s="25" t="s">
        <v>62</v>
      </c>
      <c r="B155" s="25" t="s">
        <v>116</v>
      </c>
      <c r="C155" s="25" t="s">
        <v>118</v>
      </c>
      <c r="D155" s="25" t="s">
        <v>15</v>
      </c>
      <c r="E155" s="24" t="s">
        <v>120</v>
      </c>
      <c r="F155" s="25">
        <v>1215.44</v>
      </c>
      <c r="H155" s="26">
        <f t="shared" si="4"/>
        <v>1215.44</v>
      </c>
      <c r="I155" s="25">
        <v>2019</v>
      </c>
      <c r="J155" s="25" t="s">
        <v>107</v>
      </c>
      <c r="K155" s="25" t="s">
        <v>108</v>
      </c>
    </row>
    <row r="156" spans="1:11" s="25" customFormat="1">
      <c r="A156" s="25" t="s">
        <v>62</v>
      </c>
      <c r="B156" s="25" t="s">
        <v>116</v>
      </c>
      <c r="C156" s="25" t="s">
        <v>119</v>
      </c>
      <c r="D156" s="25" t="s">
        <v>15</v>
      </c>
      <c r="E156" s="25" t="s">
        <v>16</v>
      </c>
      <c r="F156" s="25">
        <v>139.41999999999999</v>
      </c>
      <c r="H156" s="26">
        <f t="shared" si="4"/>
        <v>139.41999999999999</v>
      </c>
      <c r="I156" s="25">
        <v>2019</v>
      </c>
      <c r="J156" s="25" t="s">
        <v>107</v>
      </c>
      <c r="K156" s="25" t="s">
        <v>108</v>
      </c>
    </row>
    <row r="157" spans="1:11" s="25" customFormat="1">
      <c r="A157" s="25" t="s">
        <v>62</v>
      </c>
      <c r="B157" s="25" t="s">
        <v>121</v>
      </c>
      <c r="C157" s="25" t="s">
        <v>121</v>
      </c>
      <c r="D157" s="25" t="s">
        <v>15</v>
      </c>
      <c r="E157" s="25" t="s">
        <v>122</v>
      </c>
      <c r="F157" s="25">
        <v>3382.16</v>
      </c>
      <c r="H157" s="26">
        <f t="shared" si="4"/>
        <v>3382.16</v>
      </c>
      <c r="I157" s="25">
        <v>2019</v>
      </c>
      <c r="J157" s="25" t="s">
        <v>107</v>
      </c>
      <c r="K157" s="25" t="s">
        <v>108</v>
      </c>
    </row>
    <row r="158" spans="1:11" s="25" customFormat="1">
      <c r="A158" s="25" t="s">
        <v>62</v>
      </c>
      <c r="B158" s="25" t="s">
        <v>98</v>
      </c>
      <c r="C158" s="25" t="s">
        <v>123</v>
      </c>
      <c r="D158" s="25" t="s">
        <v>15</v>
      </c>
      <c r="E158" s="25" t="s">
        <v>16</v>
      </c>
      <c r="F158" s="25">
        <v>0</v>
      </c>
      <c r="H158" s="26">
        <f t="shared" si="4"/>
        <v>0</v>
      </c>
      <c r="I158" s="25">
        <v>2019</v>
      </c>
      <c r="J158" s="25" t="s">
        <v>107</v>
      </c>
      <c r="K158" s="25" t="s">
        <v>108</v>
      </c>
    </row>
    <row r="159" spans="1:11" s="25" customFormat="1">
      <c r="A159" s="25" t="s">
        <v>62</v>
      </c>
      <c r="B159" s="25" t="s">
        <v>98</v>
      </c>
      <c r="C159" s="25" t="s">
        <v>99</v>
      </c>
      <c r="D159" s="25" t="s">
        <v>15</v>
      </c>
      <c r="E159" s="25" t="s">
        <v>16</v>
      </c>
      <c r="F159" s="25">
        <v>0</v>
      </c>
      <c r="H159" s="26">
        <f t="shared" si="4"/>
        <v>0</v>
      </c>
      <c r="I159" s="25">
        <v>2019</v>
      </c>
      <c r="J159" s="25" t="s">
        <v>107</v>
      </c>
      <c r="K159" s="25" t="s">
        <v>108</v>
      </c>
    </row>
    <row r="160" spans="1:11" s="25" customFormat="1">
      <c r="A160" s="25" t="s">
        <v>62</v>
      </c>
      <c r="B160" s="25" t="s">
        <v>98</v>
      </c>
      <c r="C160" s="25" t="s">
        <v>102</v>
      </c>
      <c r="D160" s="25" t="s">
        <v>15</v>
      </c>
      <c r="E160" s="25" t="s">
        <v>16</v>
      </c>
      <c r="F160" s="25">
        <v>0</v>
      </c>
      <c r="H160" s="26">
        <f t="shared" si="4"/>
        <v>0</v>
      </c>
      <c r="I160" s="25">
        <v>2019</v>
      </c>
      <c r="J160" s="25" t="s">
        <v>107</v>
      </c>
      <c r="K160" s="25" t="s">
        <v>108</v>
      </c>
    </row>
    <row r="161" spans="1:11" s="25" customFormat="1" ht="15">
      <c r="A161" s="25" t="s">
        <v>62</v>
      </c>
      <c r="B161" s="25" t="s">
        <v>98</v>
      </c>
      <c r="C161" s="25" t="s">
        <v>124</v>
      </c>
      <c r="D161" s="25" t="s">
        <v>15</v>
      </c>
      <c r="E161" s="24" t="s">
        <v>125</v>
      </c>
      <c r="F161" s="25">
        <v>0</v>
      </c>
      <c r="H161" s="26">
        <f t="shared" si="4"/>
        <v>0</v>
      </c>
      <c r="I161" s="25">
        <v>2019</v>
      </c>
      <c r="J161" s="25" t="s">
        <v>107</v>
      </c>
      <c r="K161" s="25" t="s">
        <v>108</v>
      </c>
    </row>
    <row r="162" spans="1:11" s="25" customFormat="1">
      <c r="A162" s="25" t="s">
        <v>62</v>
      </c>
      <c r="B162" s="25" t="s">
        <v>126</v>
      </c>
      <c r="C162" s="25" t="s">
        <v>127</v>
      </c>
      <c r="D162" s="25" t="s">
        <v>15</v>
      </c>
      <c r="E162" s="25" t="s">
        <v>122</v>
      </c>
      <c r="F162" s="25">
        <v>1827.29</v>
      </c>
      <c r="H162" s="26">
        <f t="shared" si="4"/>
        <v>1827.29</v>
      </c>
      <c r="I162" s="25">
        <v>2019</v>
      </c>
      <c r="J162" s="25" t="s">
        <v>107</v>
      </c>
      <c r="K162" s="25" t="s">
        <v>108</v>
      </c>
    </row>
    <row r="163" spans="1:11" s="25" customFormat="1">
      <c r="A163" s="25" t="s">
        <v>62</v>
      </c>
      <c r="B163" s="25" t="s">
        <v>126</v>
      </c>
      <c r="C163" s="25" t="s">
        <v>128</v>
      </c>
      <c r="D163" s="25" t="s">
        <v>15</v>
      </c>
      <c r="E163" s="25" t="s">
        <v>122</v>
      </c>
      <c r="F163" s="25">
        <v>4107.08</v>
      </c>
      <c r="H163" s="26">
        <f t="shared" si="4"/>
        <v>4107.08</v>
      </c>
      <c r="I163" s="25">
        <v>2019</v>
      </c>
      <c r="J163" s="25" t="s">
        <v>107</v>
      </c>
      <c r="K163" s="25" t="s">
        <v>108</v>
      </c>
    </row>
    <row r="164" spans="1:11" s="25" customFormat="1">
      <c r="A164" s="25" t="s">
        <v>62</v>
      </c>
      <c r="B164" s="25" t="s">
        <v>126</v>
      </c>
      <c r="C164" s="25" t="s">
        <v>129</v>
      </c>
      <c r="D164" s="25" t="s">
        <v>15</v>
      </c>
      <c r="E164" s="25" t="s">
        <v>122</v>
      </c>
      <c r="F164" s="25">
        <v>192.32</v>
      </c>
      <c r="H164" s="26">
        <f t="shared" si="4"/>
        <v>192.32</v>
      </c>
      <c r="I164" s="25">
        <v>2019</v>
      </c>
      <c r="J164" s="25" t="s">
        <v>107</v>
      </c>
      <c r="K164" s="25" t="s">
        <v>108</v>
      </c>
    </row>
    <row r="165" spans="1:11" s="25" customFormat="1">
      <c r="A165" s="25" t="s">
        <v>62</v>
      </c>
      <c r="B165" s="25" t="s">
        <v>126</v>
      </c>
      <c r="C165" s="25" t="s">
        <v>130</v>
      </c>
      <c r="D165" s="25" t="s">
        <v>15</v>
      </c>
      <c r="E165" s="25" t="s">
        <v>122</v>
      </c>
      <c r="F165" s="25">
        <v>723.26</v>
      </c>
      <c r="H165" s="26">
        <f t="shared" si="4"/>
        <v>723.26</v>
      </c>
      <c r="I165" s="25">
        <v>2019</v>
      </c>
      <c r="J165" s="25" t="s">
        <v>107</v>
      </c>
      <c r="K165" s="25" t="s">
        <v>108</v>
      </c>
    </row>
    <row r="166" spans="1:11" s="25" customFormat="1">
      <c r="A166" s="25" t="s">
        <v>62</v>
      </c>
      <c r="B166" s="25" t="s">
        <v>126</v>
      </c>
      <c r="C166" s="25" t="s">
        <v>131</v>
      </c>
      <c r="D166" s="25" t="s">
        <v>15</v>
      </c>
      <c r="E166" s="25" t="s">
        <v>122</v>
      </c>
      <c r="F166" s="25">
        <v>2100.37</v>
      </c>
      <c r="H166" s="26">
        <f t="shared" si="4"/>
        <v>2100.37</v>
      </c>
      <c r="I166" s="25">
        <v>2019</v>
      </c>
      <c r="J166" s="25" t="s">
        <v>107</v>
      </c>
      <c r="K166" s="25" t="s">
        <v>108</v>
      </c>
    </row>
    <row r="167" spans="1:11" s="25" customFormat="1">
      <c r="A167" s="25" t="s">
        <v>62</v>
      </c>
      <c r="B167" s="25" t="s">
        <v>20</v>
      </c>
      <c r="C167" s="25" t="s">
        <v>21</v>
      </c>
      <c r="D167" s="25" t="s">
        <v>15</v>
      </c>
      <c r="E167" s="25" t="s">
        <v>16</v>
      </c>
      <c r="F167" s="25">
        <v>364.29</v>
      </c>
      <c r="H167" s="26">
        <f t="shared" si="4"/>
        <v>364.29</v>
      </c>
      <c r="I167" s="25">
        <v>2019</v>
      </c>
      <c r="J167" s="25" t="s">
        <v>107</v>
      </c>
      <c r="K167" s="25" t="s">
        <v>108</v>
      </c>
    </row>
    <row r="168" spans="1:11" s="25" customFormat="1">
      <c r="A168" s="25" t="s">
        <v>62</v>
      </c>
      <c r="B168" s="25" t="s">
        <v>52</v>
      </c>
      <c r="C168" s="25" t="s">
        <v>53</v>
      </c>
      <c r="D168" s="25" t="s">
        <v>15</v>
      </c>
      <c r="E168" s="25" t="s">
        <v>16</v>
      </c>
      <c r="F168" s="25">
        <v>1457.49</v>
      </c>
      <c r="H168" s="26">
        <f t="shared" si="4"/>
        <v>1457.49</v>
      </c>
      <c r="I168" s="25">
        <v>2019</v>
      </c>
      <c r="J168" s="25" t="s">
        <v>107</v>
      </c>
      <c r="K168" s="25" t="s">
        <v>108</v>
      </c>
    </row>
    <row r="169" spans="1:11" s="25" customFormat="1">
      <c r="A169" s="25" t="s">
        <v>62</v>
      </c>
      <c r="B169" s="25" t="s">
        <v>52</v>
      </c>
      <c r="C169" s="25" t="s">
        <v>56</v>
      </c>
      <c r="D169" s="25" t="s">
        <v>15</v>
      </c>
      <c r="E169" s="25" t="s">
        <v>16</v>
      </c>
      <c r="F169" s="25">
        <v>268.51</v>
      </c>
      <c r="H169" s="26">
        <f t="shared" si="4"/>
        <v>268.51</v>
      </c>
      <c r="I169" s="25">
        <v>2019</v>
      </c>
      <c r="J169" s="25" t="s">
        <v>107</v>
      </c>
      <c r="K169" s="25" t="s">
        <v>108</v>
      </c>
    </row>
    <row r="170" spans="1:11" s="25" customFormat="1">
      <c r="A170" s="25" t="s">
        <v>62</v>
      </c>
      <c r="B170" s="25" t="s">
        <v>58</v>
      </c>
      <c r="C170" s="25" t="s">
        <v>132</v>
      </c>
      <c r="D170" s="25" t="s">
        <v>15</v>
      </c>
      <c r="E170" s="25" t="s">
        <v>16</v>
      </c>
      <c r="F170" s="25">
        <v>42.04</v>
      </c>
      <c r="H170" s="26">
        <f t="shared" si="4"/>
        <v>42.04</v>
      </c>
      <c r="I170" s="25">
        <v>2019</v>
      </c>
      <c r="J170" s="25" t="s">
        <v>107</v>
      </c>
      <c r="K170" s="25" t="s">
        <v>108</v>
      </c>
    </row>
  </sheetData>
  <autoFilter ref="A1:K170" xr:uid="{18D6E810-1CBF-43DB-AAF3-6EF6CE9DEF82}"/>
  <phoneticPr fontId="6"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D591A-E079-450A-88C9-87376EF1DFD8}">
  <dimension ref="A1:M33"/>
  <sheetViews>
    <sheetView topLeftCell="A20" workbookViewId="0">
      <selection activeCell="C37" sqref="C37"/>
    </sheetView>
  </sheetViews>
  <sheetFormatPr defaultRowHeight="14.45"/>
  <cols>
    <col min="1" max="1" width="19.42578125" style="4" customWidth="1"/>
    <col min="2" max="2" width="43.140625" customWidth="1"/>
    <col min="3" max="3" width="56.5703125" customWidth="1"/>
    <col min="4" max="4" width="14.140625" customWidth="1"/>
    <col min="5" max="6" width="14.28515625" customWidth="1"/>
    <col min="7" max="9" width="18.85546875" customWidth="1"/>
    <col min="10" max="10" width="57.85546875" customWidth="1"/>
    <col min="11" max="11" width="18.85546875" customWidth="1"/>
    <col min="12" max="12" width="38.42578125" customWidth="1"/>
    <col min="13" max="13" width="18.42578125" customWidth="1"/>
    <col min="14" max="14" width="20.42578125" customWidth="1"/>
  </cols>
  <sheetData>
    <row r="1" spans="1:13">
      <c r="A1" s="4" t="s">
        <v>133</v>
      </c>
      <c r="B1" s="1" t="s">
        <v>134</v>
      </c>
      <c r="C1" s="1" t="s">
        <v>135</v>
      </c>
      <c r="D1" s="1" t="s">
        <v>0</v>
      </c>
      <c r="E1" s="1" t="s">
        <v>1</v>
      </c>
      <c r="F1" s="1" t="s">
        <v>136</v>
      </c>
      <c r="G1" s="1" t="s">
        <v>137</v>
      </c>
      <c r="H1" s="1" t="s">
        <v>138</v>
      </c>
      <c r="I1" s="1" t="s">
        <v>139</v>
      </c>
      <c r="J1" s="1" t="s">
        <v>140</v>
      </c>
      <c r="K1" s="1"/>
      <c r="L1" s="1" t="s">
        <v>136</v>
      </c>
      <c r="M1" s="1" t="s">
        <v>137</v>
      </c>
    </row>
    <row r="2" spans="1:13" ht="29.1">
      <c r="A2" s="2" t="s">
        <v>141</v>
      </c>
      <c r="B2" s="2" t="s">
        <v>142</v>
      </c>
      <c r="C2" s="5" t="s">
        <v>143</v>
      </c>
      <c r="D2" t="s">
        <v>144</v>
      </c>
      <c r="E2" t="s">
        <v>31</v>
      </c>
      <c r="F2" t="s">
        <v>145</v>
      </c>
      <c r="G2" t="s">
        <v>146</v>
      </c>
      <c r="H2" t="s">
        <v>147</v>
      </c>
      <c r="I2" t="s">
        <v>148</v>
      </c>
      <c r="J2" t="s">
        <v>149</v>
      </c>
      <c r="L2" s="1"/>
      <c r="M2" s="1"/>
    </row>
    <row r="3" spans="1:13" ht="29.1">
      <c r="A3" s="2" t="s">
        <v>37</v>
      </c>
      <c r="B3" s="2" t="s">
        <v>150</v>
      </c>
      <c r="C3" s="3" t="s">
        <v>151</v>
      </c>
      <c r="D3" t="s">
        <v>13</v>
      </c>
      <c r="E3" t="s">
        <v>31</v>
      </c>
      <c r="F3" t="s">
        <v>145</v>
      </c>
      <c r="G3" t="s">
        <v>146</v>
      </c>
      <c r="H3" t="s">
        <v>152</v>
      </c>
      <c r="I3" t="s">
        <v>153</v>
      </c>
      <c r="L3" s="1"/>
      <c r="M3" s="1"/>
    </row>
    <row r="4" spans="1:13" ht="29.1">
      <c r="A4" s="2" t="s">
        <v>40</v>
      </c>
      <c r="B4" s="2" t="s">
        <v>154</v>
      </c>
      <c r="C4" s="3" t="s">
        <v>155</v>
      </c>
      <c r="D4" t="s">
        <v>13</v>
      </c>
      <c r="E4" t="s">
        <v>31</v>
      </c>
      <c r="F4" t="s">
        <v>145</v>
      </c>
      <c r="G4" t="s">
        <v>146</v>
      </c>
      <c r="H4" t="s">
        <v>152</v>
      </c>
      <c r="I4" t="s">
        <v>153</v>
      </c>
      <c r="L4" s="1"/>
      <c r="M4" s="1"/>
    </row>
    <row r="5" spans="1:13" ht="29.1">
      <c r="A5" s="2" t="s">
        <v>156</v>
      </c>
      <c r="B5" s="2" t="s">
        <v>157</v>
      </c>
      <c r="C5" s="5" t="s">
        <v>158</v>
      </c>
      <c r="D5" t="s">
        <v>77</v>
      </c>
      <c r="E5" t="s">
        <v>31</v>
      </c>
      <c r="F5" t="s">
        <v>145</v>
      </c>
      <c r="G5" t="s">
        <v>146</v>
      </c>
      <c r="H5" t="s">
        <v>147</v>
      </c>
      <c r="I5" t="s">
        <v>153</v>
      </c>
      <c r="J5" t="s">
        <v>159</v>
      </c>
      <c r="L5" s="1"/>
      <c r="M5" s="1"/>
    </row>
    <row r="6" spans="1:13" ht="29.1">
      <c r="A6" s="2" t="s">
        <v>160</v>
      </c>
      <c r="B6" s="2" t="s">
        <v>161</v>
      </c>
      <c r="C6" s="5" t="s">
        <v>158</v>
      </c>
      <c r="D6" t="s">
        <v>77</v>
      </c>
      <c r="E6" t="s">
        <v>31</v>
      </c>
      <c r="F6" t="s">
        <v>145</v>
      </c>
      <c r="G6" t="s">
        <v>146</v>
      </c>
      <c r="H6" t="s">
        <v>147</v>
      </c>
      <c r="I6" t="s">
        <v>153</v>
      </c>
      <c r="J6" t="s">
        <v>159</v>
      </c>
      <c r="L6" s="1"/>
      <c r="M6" s="1"/>
    </row>
    <row r="7" spans="1:13">
      <c r="A7" s="2" t="s">
        <v>96</v>
      </c>
      <c r="B7" s="2" t="s">
        <v>162</v>
      </c>
      <c r="C7" s="3" t="s">
        <v>163</v>
      </c>
      <c r="D7" t="s">
        <v>77</v>
      </c>
      <c r="E7" t="s">
        <v>31</v>
      </c>
      <c r="F7" t="s">
        <v>145</v>
      </c>
      <c r="G7" t="s">
        <v>146</v>
      </c>
      <c r="H7" t="s">
        <v>152</v>
      </c>
      <c r="I7" t="s">
        <v>153</v>
      </c>
      <c r="L7" s="1"/>
      <c r="M7" s="1"/>
    </row>
    <row r="8" spans="1:13" ht="43.5">
      <c r="A8" s="2" t="s">
        <v>164</v>
      </c>
      <c r="B8" s="2" t="s">
        <v>165</v>
      </c>
      <c r="C8" s="3" t="s">
        <v>166</v>
      </c>
      <c r="D8" t="s">
        <v>62</v>
      </c>
      <c r="E8" t="s">
        <v>31</v>
      </c>
      <c r="F8" t="s">
        <v>145</v>
      </c>
      <c r="G8" t="s">
        <v>146</v>
      </c>
      <c r="H8" t="s">
        <v>147</v>
      </c>
      <c r="I8" t="s">
        <v>153</v>
      </c>
      <c r="J8" t="s">
        <v>167</v>
      </c>
      <c r="L8" s="1"/>
      <c r="M8" s="1"/>
    </row>
    <row r="9" spans="1:13">
      <c r="A9" s="2" t="s">
        <v>76</v>
      </c>
      <c r="B9" s="2" t="s">
        <v>168</v>
      </c>
      <c r="C9" s="3" t="s">
        <v>169</v>
      </c>
      <c r="D9" t="s">
        <v>62</v>
      </c>
      <c r="E9" t="s">
        <v>31</v>
      </c>
      <c r="F9" t="s">
        <v>170</v>
      </c>
      <c r="G9" t="s">
        <v>171</v>
      </c>
      <c r="H9" t="s">
        <v>147</v>
      </c>
      <c r="I9" t="s">
        <v>148</v>
      </c>
      <c r="J9" t="s">
        <v>172</v>
      </c>
      <c r="L9" s="1"/>
      <c r="M9" s="1"/>
    </row>
    <row r="10" spans="1:13" ht="29.1">
      <c r="A10" t="s">
        <v>22</v>
      </c>
      <c r="B10" s="2" t="s">
        <v>173</v>
      </c>
      <c r="C10" s="3" t="s">
        <v>174</v>
      </c>
      <c r="D10" t="s">
        <v>144</v>
      </c>
      <c r="E10" t="s">
        <v>20</v>
      </c>
      <c r="F10" t="s">
        <v>175</v>
      </c>
      <c r="H10" t="s">
        <v>147</v>
      </c>
      <c r="I10" t="s">
        <v>153</v>
      </c>
      <c r="L10" s="1"/>
      <c r="M10" s="1"/>
    </row>
    <row r="11" spans="1:13" ht="29.1">
      <c r="A11" t="s">
        <v>24</v>
      </c>
      <c r="B11" s="2" t="s">
        <v>176</v>
      </c>
      <c r="C11" s="3" t="s">
        <v>174</v>
      </c>
      <c r="D11" t="s">
        <v>144</v>
      </c>
      <c r="E11" t="s">
        <v>20</v>
      </c>
      <c r="F11" t="s">
        <v>175</v>
      </c>
      <c r="H11" t="s">
        <v>147</v>
      </c>
      <c r="I11" t="s">
        <v>153</v>
      </c>
      <c r="L11" s="1"/>
      <c r="M11" s="1"/>
    </row>
    <row r="12" spans="1:13">
      <c r="A12" s="2" t="s">
        <v>66</v>
      </c>
      <c r="B12" t="s">
        <v>177</v>
      </c>
      <c r="C12" s="5" t="s">
        <v>178</v>
      </c>
      <c r="D12" t="s">
        <v>179</v>
      </c>
      <c r="E12" t="s">
        <v>20</v>
      </c>
      <c r="F12" t="s">
        <v>145</v>
      </c>
      <c r="G12" t="s">
        <v>171</v>
      </c>
      <c r="H12" t="s">
        <v>147</v>
      </c>
      <c r="I12" t="s">
        <v>153</v>
      </c>
      <c r="L12" s="1"/>
      <c r="M12" s="1"/>
    </row>
    <row r="13" spans="1:13">
      <c r="A13" s="2" t="s">
        <v>180</v>
      </c>
      <c r="B13" s="2" t="s">
        <v>181</v>
      </c>
      <c r="C13" s="5" t="s">
        <v>182</v>
      </c>
      <c r="D13" t="s">
        <v>77</v>
      </c>
      <c r="E13" t="s">
        <v>20</v>
      </c>
      <c r="F13" t="s">
        <v>145</v>
      </c>
      <c r="G13" t="s">
        <v>171</v>
      </c>
      <c r="H13" t="s">
        <v>147</v>
      </c>
      <c r="I13" t="s">
        <v>153</v>
      </c>
      <c r="J13" t="s">
        <v>183</v>
      </c>
      <c r="L13" s="1"/>
      <c r="M13" s="1"/>
    </row>
    <row r="14" spans="1:13" ht="29.1">
      <c r="A14" t="s">
        <v>27</v>
      </c>
      <c r="B14" s="2" t="s">
        <v>184</v>
      </c>
      <c r="C14" s="5" t="s">
        <v>185</v>
      </c>
      <c r="D14" t="s">
        <v>13</v>
      </c>
      <c r="E14" t="s">
        <v>20</v>
      </c>
      <c r="F14" t="s">
        <v>175</v>
      </c>
      <c r="H14" t="s">
        <v>147</v>
      </c>
      <c r="I14" t="s">
        <v>153</v>
      </c>
      <c r="J14" t="s">
        <v>186</v>
      </c>
      <c r="L14" s="1"/>
      <c r="M14" s="1"/>
    </row>
    <row r="15" spans="1:13" ht="57.95">
      <c r="A15" s="2" t="s">
        <v>28</v>
      </c>
      <c r="B15" s="2" t="s">
        <v>187</v>
      </c>
      <c r="C15" s="5" t="s">
        <v>188</v>
      </c>
      <c r="D15" t="s">
        <v>13</v>
      </c>
      <c r="E15" t="s">
        <v>20</v>
      </c>
      <c r="F15" t="s">
        <v>189</v>
      </c>
      <c r="H15" t="s">
        <v>152</v>
      </c>
      <c r="I15" t="s">
        <v>148</v>
      </c>
      <c r="L15" s="1"/>
      <c r="M15" s="1"/>
    </row>
    <row r="16" spans="1:13">
      <c r="A16" t="s">
        <v>17</v>
      </c>
      <c r="B16" s="2" t="s">
        <v>190</v>
      </c>
      <c r="C16" s="3" t="s">
        <v>191</v>
      </c>
      <c r="D16" t="s">
        <v>13</v>
      </c>
      <c r="E16" t="s">
        <v>14</v>
      </c>
      <c r="F16" t="s">
        <v>145</v>
      </c>
      <c r="G16" t="s">
        <v>146</v>
      </c>
      <c r="H16" t="s">
        <v>152</v>
      </c>
      <c r="I16" t="s">
        <v>153</v>
      </c>
      <c r="L16" s="1"/>
      <c r="M16" s="1"/>
    </row>
    <row r="17" spans="1:13" ht="72.599999999999994">
      <c r="A17" s="2" t="s">
        <v>63</v>
      </c>
      <c r="B17" t="s">
        <v>192</v>
      </c>
      <c r="C17" s="5" t="s">
        <v>193</v>
      </c>
      <c r="D17" t="s">
        <v>62</v>
      </c>
      <c r="E17" t="s">
        <v>14</v>
      </c>
      <c r="F17" t="s">
        <v>194</v>
      </c>
      <c r="G17" t="s">
        <v>171</v>
      </c>
      <c r="H17" t="s">
        <v>152</v>
      </c>
      <c r="I17" t="s">
        <v>148</v>
      </c>
      <c r="L17" s="1"/>
      <c r="M17" s="1"/>
    </row>
    <row r="18" spans="1:13" ht="29.1">
      <c r="A18" s="2" t="s">
        <v>80</v>
      </c>
      <c r="B18" s="2" t="s">
        <v>195</v>
      </c>
      <c r="C18" s="3" t="s">
        <v>196</v>
      </c>
      <c r="D18" t="s">
        <v>77</v>
      </c>
      <c r="E18" t="s">
        <v>14</v>
      </c>
      <c r="F18" t="s">
        <v>175</v>
      </c>
      <c r="H18" t="s">
        <v>152</v>
      </c>
      <c r="I18" t="s">
        <v>153</v>
      </c>
      <c r="L18" s="1"/>
      <c r="M18" s="1"/>
    </row>
    <row r="19" spans="1:13" ht="29.1">
      <c r="A19" s="2" t="s">
        <v>78</v>
      </c>
      <c r="B19" s="2" t="s">
        <v>197</v>
      </c>
      <c r="C19" s="3" t="s">
        <v>198</v>
      </c>
      <c r="D19" t="s">
        <v>77</v>
      </c>
      <c r="E19" t="s">
        <v>14</v>
      </c>
      <c r="F19" t="s">
        <v>145</v>
      </c>
      <c r="G19" t="s">
        <v>146</v>
      </c>
      <c r="I19" t="s">
        <v>199</v>
      </c>
      <c r="L19" s="1"/>
      <c r="M19" s="1"/>
    </row>
    <row r="20" spans="1:13" ht="57.95">
      <c r="A20" s="2" t="s">
        <v>89</v>
      </c>
      <c r="B20" t="s">
        <v>200</v>
      </c>
      <c r="C20" s="3" t="s">
        <v>201</v>
      </c>
      <c r="D20" t="s">
        <v>77</v>
      </c>
      <c r="E20" t="s">
        <v>42</v>
      </c>
      <c r="F20" t="s">
        <v>189</v>
      </c>
      <c r="H20" t="s">
        <v>152</v>
      </c>
      <c r="I20" t="s">
        <v>148</v>
      </c>
      <c r="J20" s="2" t="s">
        <v>202</v>
      </c>
      <c r="L20" s="1"/>
      <c r="M20" s="1"/>
    </row>
    <row r="21" spans="1:13">
      <c r="A21" s="2" t="s">
        <v>90</v>
      </c>
      <c r="B21" t="s">
        <v>203</v>
      </c>
      <c r="C21" s="3" t="s">
        <v>204</v>
      </c>
      <c r="D21" t="s">
        <v>77</v>
      </c>
      <c r="E21" t="s">
        <v>42</v>
      </c>
      <c r="F21" t="s">
        <v>189</v>
      </c>
      <c r="H21" t="s">
        <v>152</v>
      </c>
      <c r="I21" t="s">
        <v>148</v>
      </c>
    </row>
    <row r="22" spans="1:13">
      <c r="A22" t="s">
        <v>44</v>
      </c>
      <c r="B22" t="s">
        <v>205</v>
      </c>
      <c r="C22" s="3" t="s">
        <v>206</v>
      </c>
      <c r="D22" t="s">
        <v>13</v>
      </c>
      <c r="E22" t="s">
        <v>42</v>
      </c>
      <c r="F22" t="s">
        <v>207</v>
      </c>
      <c r="H22" t="s">
        <v>152</v>
      </c>
      <c r="I22" t="s">
        <v>148</v>
      </c>
    </row>
    <row r="23" spans="1:13" ht="29.1">
      <c r="A23" s="2" t="s">
        <v>45</v>
      </c>
      <c r="B23" s="2" t="s">
        <v>208</v>
      </c>
      <c r="C23" s="3" t="s">
        <v>209</v>
      </c>
      <c r="D23" t="s">
        <v>13</v>
      </c>
      <c r="E23" t="s">
        <v>42</v>
      </c>
      <c r="F23" t="s">
        <v>145</v>
      </c>
      <c r="G23" t="s">
        <v>146</v>
      </c>
      <c r="H23" t="s">
        <v>210</v>
      </c>
      <c r="I23" t="s">
        <v>211</v>
      </c>
      <c r="J23" t="s">
        <v>212</v>
      </c>
      <c r="L23" s="1"/>
      <c r="M23" s="1"/>
    </row>
    <row r="24" spans="1:13" ht="29.1">
      <c r="A24" s="2" t="s">
        <v>54</v>
      </c>
      <c r="B24" s="2" t="s">
        <v>213</v>
      </c>
      <c r="C24" s="3" t="s">
        <v>214</v>
      </c>
      <c r="D24" t="s">
        <v>179</v>
      </c>
      <c r="E24" t="s">
        <v>215</v>
      </c>
      <c r="F24" t="s">
        <v>145</v>
      </c>
      <c r="G24" t="s">
        <v>146</v>
      </c>
      <c r="H24" t="s">
        <v>210</v>
      </c>
      <c r="I24" t="s">
        <v>153</v>
      </c>
      <c r="L24" s="1"/>
      <c r="M24" s="1"/>
    </row>
    <row r="25" spans="1:13" ht="57.95">
      <c r="A25" s="2" t="s">
        <v>82</v>
      </c>
      <c r="B25" s="2" t="s">
        <v>216</v>
      </c>
      <c r="C25" s="3" t="s">
        <v>217</v>
      </c>
      <c r="D25" t="s">
        <v>77</v>
      </c>
      <c r="E25" t="s">
        <v>215</v>
      </c>
      <c r="F25" t="s">
        <v>218</v>
      </c>
      <c r="H25" t="s">
        <v>152</v>
      </c>
      <c r="I25" t="s">
        <v>148</v>
      </c>
      <c r="L25" s="1"/>
      <c r="M25" s="1"/>
    </row>
    <row r="26" spans="1:13" ht="29.1">
      <c r="A26" s="2" t="s">
        <v>57</v>
      </c>
      <c r="B26" s="2" t="s">
        <v>219</v>
      </c>
      <c r="C26" s="3" t="s">
        <v>220</v>
      </c>
      <c r="D26" t="s">
        <v>144</v>
      </c>
      <c r="E26" t="s">
        <v>215</v>
      </c>
      <c r="F26" t="s">
        <v>145</v>
      </c>
      <c r="G26" t="s">
        <v>146</v>
      </c>
      <c r="H26" t="s">
        <v>210</v>
      </c>
      <c r="I26" t="s">
        <v>153</v>
      </c>
      <c r="L26" s="1"/>
      <c r="M26" s="1"/>
    </row>
    <row r="27" spans="1:13" ht="43.5">
      <c r="A27" s="2" t="s">
        <v>60</v>
      </c>
      <c r="B27" s="2" t="s">
        <v>221</v>
      </c>
      <c r="C27" s="3" t="s">
        <v>222</v>
      </c>
      <c r="D27" t="s">
        <v>144</v>
      </c>
      <c r="E27" t="s">
        <v>58</v>
      </c>
      <c r="F27" t="s">
        <v>145</v>
      </c>
      <c r="G27" t="s">
        <v>146</v>
      </c>
      <c r="H27" t="s">
        <v>210</v>
      </c>
      <c r="I27" t="s">
        <v>153</v>
      </c>
      <c r="L27" s="1"/>
      <c r="M27" s="1"/>
    </row>
    <row r="28" spans="1:13" ht="43.5">
      <c r="A28" s="2" t="s">
        <v>100</v>
      </c>
      <c r="B28" s="2" t="s">
        <v>223</v>
      </c>
      <c r="C28" s="3" t="s">
        <v>224</v>
      </c>
      <c r="D28" t="s">
        <v>179</v>
      </c>
      <c r="E28" t="s">
        <v>98</v>
      </c>
      <c r="F28" t="s">
        <v>175</v>
      </c>
      <c r="H28" t="s">
        <v>147</v>
      </c>
      <c r="I28" t="s">
        <v>153</v>
      </c>
      <c r="J28" t="s">
        <v>225</v>
      </c>
      <c r="L28" s="1"/>
      <c r="M28" s="1"/>
    </row>
    <row r="29" spans="1:13" ht="57.95">
      <c r="A29" s="2" t="s">
        <v>101</v>
      </c>
      <c r="B29" s="2" t="s">
        <v>226</v>
      </c>
      <c r="C29" s="3" t="s">
        <v>227</v>
      </c>
      <c r="D29" t="s">
        <v>144</v>
      </c>
      <c r="E29" t="s">
        <v>98</v>
      </c>
      <c r="F29" t="s">
        <v>189</v>
      </c>
      <c r="H29" t="s">
        <v>210</v>
      </c>
      <c r="I29" t="s">
        <v>148</v>
      </c>
      <c r="L29" s="1"/>
      <c r="M29" s="1"/>
    </row>
    <row r="30" spans="1:13">
      <c r="A30" s="2" t="s">
        <v>228</v>
      </c>
      <c r="B30" s="2" t="s">
        <v>229</v>
      </c>
      <c r="C30" s="3" t="s">
        <v>230</v>
      </c>
      <c r="D30" t="s">
        <v>144</v>
      </c>
      <c r="E30" t="s">
        <v>98</v>
      </c>
      <c r="F30" t="s">
        <v>175</v>
      </c>
      <c r="H30" t="s">
        <v>152</v>
      </c>
      <c r="I30" t="s">
        <v>153</v>
      </c>
      <c r="J30" t="s">
        <v>231</v>
      </c>
      <c r="L30" s="1"/>
      <c r="M30" s="1"/>
    </row>
    <row r="31" spans="1:13" ht="28.5" customHeight="1">
      <c r="A31" s="2" t="s">
        <v>108</v>
      </c>
      <c r="B31" s="2" t="s">
        <v>232</v>
      </c>
      <c r="C31" s="19" t="s">
        <v>233</v>
      </c>
      <c r="D31" t="s">
        <v>144</v>
      </c>
      <c r="E31" t="s">
        <v>234</v>
      </c>
      <c r="F31" t="s">
        <v>235</v>
      </c>
      <c r="H31" t="s">
        <v>210</v>
      </c>
      <c r="I31" t="s">
        <v>153</v>
      </c>
      <c r="L31" s="1"/>
      <c r="M31" s="1"/>
    </row>
    <row r="33" spans="2:2">
      <c r="B33" s="2"/>
    </row>
  </sheetData>
  <hyperlinks>
    <hyperlink ref="C11" r:id="rId1" xr:uid="{78199468-5952-4685-8EE7-4ABCACF93F83}"/>
    <hyperlink ref="C16" r:id="rId2" xr:uid="{BD565ED5-6915-4121-AA00-CF55B2CD8D2A}"/>
    <hyperlink ref="C10" r:id="rId3" xr:uid="{1F8EB2B3-6B38-44D5-B03A-43A6C3F922B8}"/>
    <hyperlink ref="C14" r:id="rId4" location="data/RFN_x000a_" xr:uid="{940870DF-D136-4C58-A822-8F29C206F978}"/>
    <hyperlink ref="C2" r:id="rId5" xr:uid="{D4C7E226-274B-46CE-B712-7016900F7D96}"/>
    <hyperlink ref="C3" r:id="rId6" xr:uid="{9EBC8940-BA9F-4354-ACDF-6958F3CE575C}"/>
    <hyperlink ref="C6" r:id="rId7" xr:uid="{1286EF29-DC47-4AF4-BFC0-A42235D0F992}"/>
    <hyperlink ref="C5" r:id="rId8" xr:uid="{A7A69958-5237-44E6-A399-3D3938D06E1C}"/>
    <hyperlink ref="C4" r:id="rId9" xr:uid="{67CD9AD2-9F9C-4226-83F0-C3B9446C0386}"/>
    <hyperlink ref="C7" r:id="rId10" xr:uid="{879A0D94-C328-4005-B626-BE0CC715DDF2}"/>
    <hyperlink ref="C8" r:id="rId11" xr:uid="{3260FBB7-B98B-4F7A-BF40-2B89368B7541}"/>
    <hyperlink ref="C13" r:id="rId12" xr:uid="{197BC8E7-EDE3-4A12-AB7F-A1702F13D1EC}"/>
    <hyperlink ref="C12" r:id="rId13" xr:uid="{533E4A78-D66A-4B86-814D-4D791B2C6EDB}"/>
    <hyperlink ref="C15" r:id="rId14" xr:uid="{26D44EF3-F4DF-4CDB-A566-BAF7EE0119D4}"/>
    <hyperlink ref="C9" r:id="rId15" xr:uid="{F0EEE027-E4DE-413B-979C-44C955437CD4}"/>
    <hyperlink ref="C17" r:id="rId16" display="https://www.sement.heidelbergmaterials.no/en" xr:uid="{3C4F3676-0E3A-466D-90E9-309F0D76935A}"/>
    <hyperlink ref="C18" r:id="rId17" xr:uid="{248B9A16-59D5-405C-BA35-68B6A55C99D8}"/>
    <hyperlink ref="C19" r:id="rId18" xr:uid="{B5032AE3-B206-4EDF-A987-3700C92D7F34}"/>
    <hyperlink ref="C21" r:id="rId19" xr:uid="{02EA1BA3-26F3-4DCD-9029-2CFE191020B5}"/>
    <hyperlink ref="C20" r:id="rId20" xr:uid="{A512B8BE-14C5-4DAE-93A6-04AB4243BE1D}"/>
    <hyperlink ref="C22" r:id="rId21" xr:uid="{2E82A06B-6C62-41B3-BD55-F551C277164D}"/>
    <hyperlink ref="C23" r:id="rId22" xr:uid="{57296ED4-E5A0-4504-835E-AED7935B9B37}"/>
    <hyperlink ref="C24" r:id="rId23" xr:uid="{54E8619D-1716-47DB-B1DB-7317BD723E03}"/>
    <hyperlink ref="C25" r:id="rId24" xr:uid="{1A9061D2-1FC7-4D79-9400-B2E14A538BF1}"/>
    <hyperlink ref="C26" r:id="rId25" xr:uid="{57CC11E3-3F5D-4ECB-BEBE-3EA79634E34F}"/>
    <hyperlink ref="C27" r:id="rId26" xr:uid="{C28F756A-0759-44DF-A74E-06BF7D23734C}"/>
    <hyperlink ref="C28" r:id="rId27" xr:uid="{F41283F6-29FE-4BFE-8B8D-442EA95447A0}"/>
    <hyperlink ref="C29" r:id="rId28" xr:uid="{0B0B97FB-D5DB-4E9A-ABF6-E37CB1FB28E2}"/>
    <hyperlink ref="C30" r:id="rId29" xr:uid="{22E214DA-4AAA-4542-8B52-4292D8E23A4A}"/>
    <hyperlink ref="C31" r:id="rId30" xr:uid="{2F95C109-747D-4446-B9F5-C1A1013DB065}"/>
  </hyperlinks>
  <pageMargins left="0.7" right="0.7" top="0.75" bottom="0.75" header="0.3" footer="0.3"/>
  <pageSetup orientation="portrait" r:id="rId3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2F59E-5990-41D7-9F08-26714B628CA8}">
  <dimension ref="A1:E34"/>
  <sheetViews>
    <sheetView workbookViewId="0">
      <selection activeCell="H50" sqref="H50"/>
    </sheetView>
  </sheetViews>
  <sheetFormatPr defaultRowHeight="14.45"/>
  <cols>
    <col min="1" max="1" width="16.140625" customWidth="1"/>
    <col min="2" max="2" width="29.28515625" customWidth="1"/>
    <col min="3" max="3" width="8.85546875" customWidth="1"/>
    <col min="4" max="4" width="10.28515625" customWidth="1"/>
    <col min="5" max="5" width="12" customWidth="1"/>
  </cols>
  <sheetData>
    <row r="1" spans="1:5" ht="15" customHeight="1">
      <c r="C1" s="20" t="s">
        <v>236</v>
      </c>
      <c r="D1" s="20"/>
      <c r="E1" s="14" t="s">
        <v>237</v>
      </c>
    </row>
    <row r="2" spans="1:5" ht="15" customHeight="1">
      <c r="A2" s="10"/>
      <c r="B2" s="13" t="s">
        <v>238</v>
      </c>
      <c r="C2" s="10" t="s">
        <v>239</v>
      </c>
      <c r="D2" s="10" t="s">
        <v>240</v>
      </c>
      <c r="E2" s="10"/>
    </row>
    <row r="3" spans="1:5" ht="15" customHeight="1">
      <c r="A3" s="21" t="s">
        <v>241</v>
      </c>
      <c r="B3" s="10" t="s">
        <v>242</v>
      </c>
      <c r="C3" s="10" t="s">
        <v>243</v>
      </c>
      <c r="D3" s="10" t="s">
        <v>243</v>
      </c>
      <c r="E3" s="10" t="s">
        <v>239</v>
      </c>
    </row>
    <row r="4" spans="1:5" ht="15" customHeight="1">
      <c r="A4" s="22"/>
      <c r="B4" s="10" t="s">
        <v>244</v>
      </c>
      <c r="C4" s="10" t="s">
        <v>243</v>
      </c>
      <c r="D4" s="10" t="s">
        <v>243</v>
      </c>
      <c r="E4" s="10" t="s">
        <v>239</v>
      </c>
    </row>
    <row r="5" spans="1:5" ht="15" customHeight="1">
      <c r="A5" s="23"/>
      <c r="B5" s="10" t="s">
        <v>245</v>
      </c>
      <c r="C5" s="10" t="s">
        <v>246</v>
      </c>
      <c r="D5" s="10"/>
      <c r="E5" s="10" t="s">
        <v>246</v>
      </c>
    </row>
    <row r="6" spans="1:5" ht="15" customHeight="1">
      <c r="A6" s="21" t="s">
        <v>247</v>
      </c>
      <c r="B6" s="10" t="s">
        <v>248</v>
      </c>
      <c r="C6" s="10" t="s">
        <v>243</v>
      </c>
      <c r="D6" s="10" t="s">
        <v>243</v>
      </c>
      <c r="E6" s="10" t="s">
        <v>239</v>
      </c>
    </row>
    <row r="7" spans="1:5" ht="15" customHeight="1">
      <c r="A7" s="22"/>
      <c r="B7" s="10" t="s">
        <v>249</v>
      </c>
      <c r="C7" s="10" t="s">
        <v>250</v>
      </c>
      <c r="D7" s="10" t="s">
        <v>250</v>
      </c>
      <c r="E7" s="10" t="s">
        <v>246</v>
      </c>
    </row>
    <row r="8" spans="1:5" ht="15" customHeight="1">
      <c r="A8" s="22"/>
      <c r="B8" s="10" t="s">
        <v>251</v>
      </c>
      <c r="C8" s="10" t="s">
        <v>250</v>
      </c>
      <c r="D8" s="10" t="s">
        <v>250</v>
      </c>
      <c r="E8" s="10" t="s">
        <v>246</v>
      </c>
    </row>
    <row r="9" spans="1:5" ht="15" customHeight="1">
      <c r="A9" s="22"/>
      <c r="B9" s="10" t="s">
        <v>252</v>
      </c>
      <c r="C9" s="10" t="s">
        <v>243</v>
      </c>
      <c r="D9" s="10" t="s">
        <v>243</v>
      </c>
      <c r="E9" s="10" t="s">
        <v>239</v>
      </c>
    </row>
    <row r="10" spans="1:5" ht="15" customHeight="1">
      <c r="A10" s="22"/>
      <c r="B10" s="10" t="s">
        <v>253</v>
      </c>
      <c r="C10" s="10" t="s">
        <v>250</v>
      </c>
      <c r="D10" s="10" t="s">
        <v>243</v>
      </c>
      <c r="E10" s="10" t="s">
        <v>107</v>
      </c>
    </row>
    <row r="11" spans="1:5" ht="15" customHeight="1">
      <c r="A11" s="23"/>
      <c r="B11" s="10" t="s">
        <v>254</v>
      </c>
      <c r="C11" s="10" t="s">
        <v>250</v>
      </c>
      <c r="D11" s="10" t="s">
        <v>243</v>
      </c>
      <c r="E11" s="10" t="s">
        <v>107</v>
      </c>
    </row>
    <row r="12" spans="1:5" ht="15" customHeight="1">
      <c r="A12" s="11" t="s">
        <v>255</v>
      </c>
      <c r="B12" s="10" t="s">
        <v>256</v>
      </c>
      <c r="C12" s="10" t="s">
        <v>243</v>
      </c>
      <c r="D12" s="10" t="s">
        <v>243</v>
      </c>
      <c r="E12" s="10" t="s">
        <v>239</v>
      </c>
    </row>
    <row r="13" spans="1:5" ht="15" customHeight="1">
      <c r="A13" s="11"/>
      <c r="B13" s="10" t="s">
        <v>257</v>
      </c>
      <c r="C13" s="10" t="s">
        <v>243</v>
      </c>
      <c r="D13" s="10" t="s">
        <v>250</v>
      </c>
      <c r="E13" s="10" t="s">
        <v>246</v>
      </c>
    </row>
    <row r="14" spans="1:5" ht="15" customHeight="1">
      <c r="A14" s="11"/>
      <c r="B14" s="10" t="s">
        <v>258</v>
      </c>
      <c r="C14" s="10" t="s">
        <v>243</v>
      </c>
      <c r="D14" s="10" t="s">
        <v>250</v>
      </c>
      <c r="E14" s="10" t="s">
        <v>246</v>
      </c>
    </row>
    <row r="15" spans="1:5" ht="15" customHeight="1">
      <c r="A15" s="11" t="s">
        <v>259</v>
      </c>
      <c r="B15" s="10" t="s">
        <v>259</v>
      </c>
      <c r="C15" s="10" t="s">
        <v>243</v>
      </c>
      <c r="D15" s="10" t="s">
        <v>243</v>
      </c>
      <c r="E15" s="10" t="s">
        <v>239</v>
      </c>
    </row>
    <row r="16" spans="1:5" ht="15" customHeight="1">
      <c r="A16" s="21" t="s">
        <v>260</v>
      </c>
      <c r="B16" s="10" t="s">
        <v>261</v>
      </c>
      <c r="C16" s="10" t="s">
        <v>243</v>
      </c>
      <c r="D16" s="32" t="s">
        <v>243</v>
      </c>
      <c r="E16" s="10" t="s">
        <v>239</v>
      </c>
    </row>
    <row r="17" spans="1:5" ht="15" customHeight="1">
      <c r="A17" s="22"/>
      <c r="B17" s="10" t="s">
        <v>262</v>
      </c>
      <c r="C17" s="10" t="s">
        <v>243</v>
      </c>
      <c r="D17" s="33"/>
      <c r="E17" s="10" t="s">
        <v>239</v>
      </c>
    </row>
    <row r="18" spans="1:5" ht="15" customHeight="1">
      <c r="A18" s="23"/>
      <c r="B18" s="10" t="s">
        <v>263</v>
      </c>
      <c r="C18" s="10" t="s">
        <v>243</v>
      </c>
      <c r="D18" s="34"/>
      <c r="E18" s="10" t="s">
        <v>239</v>
      </c>
    </row>
    <row r="19" spans="1:5" ht="15" customHeight="1">
      <c r="A19" s="21" t="s">
        <v>264</v>
      </c>
      <c r="B19" s="10" t="s">
        <v>265</v>
      </c>
      <c r="C19" s="10" t="s">
        <v>243</v>
      </c>
      <c r="D19" s="10" t="s">
        <v>250</v>
      </c>
      <c r="E19" s="10" t="s">
        <v>239</v>
      </c>
    </row>
    <row r="20" spans="1:5" ht="15" customHeight="1">
      <c r="A20" s="23"/>
      <c r="B20" s="10" t="s">
        <v>266</v>
      </c>
      <c r="C20" s="10" t="s">
        <v>246</v>
      </c>
      <c r="D20" s="10" t="s">
        <v>243</v>
      </c>
      <c r="E20" s="10" t="s">
        <v>246</v>
      </c>
    </row>
    <row r="21" spans="1:5" ht="15" customHeight="1">
      <c r="A21" s="11" t="s">
        <v>267</v>
      </c>
      <c r="B21" s="10" t="s">
        <v>268</v>
      </c>
      <c r="C21" s="10" t="s">
        <v>250</v>
      </c>
      <c r="D21" s="10" t="s">
        <v>243</v>
      </c>
      <c r="E21" s="10" t="s">
        <v>107</v>
      </c>
    </row>
    <row r="22" spans="1:5" ht="15" customHeight="1">
      <c r="A22" s="21" t="s">
        <v>269</v>
      </c>
      <c r="B22" s="10" t="s">
        <v>270</v>
      </c>
      <c r="C22" s="10" t="s">
        <v>250</v>
      </c>
      <c r="D22" s="10" t="s">
        <v>243</v>
      </c>
      <c r="E22" s="10" t="s">
        <v>107</v>
      </c>
    </row>
    <row r="23" spans="1:5" ht="15" customHeight="1">
      <c r="A23" s="22"/>
      <c r="B23" s="10" t="s">
        <v>271</v>
      </c>
      <c r="C23" s="10" t="s">
        <v>243</v>
      </c>
      <c r="D23" s="10" t="s">
        <v>243</v>
      </c>
      <c r="E23" s="10" t="s">
        <v>239</v>
      </c>
    </row>
    <row r="24" spans="1:5" ht="15" customHeight="1">
      <c r="A24" s="22"/>
      <c r="B24" s="10" t="s">
        <v>272</v>
      </c>
      <c r="C24" s="10" t="s">
        <v>243</v>
      </c>
      <c r="D24" s="10" t="s">
        <v>243</v>
      </c>
      <c r="E24" s="10" t="s">
        <v>239</v>
      </c>
    </row>
    <row r="25" spans="1:5" ht="15" customHeight="1">
      <c r="A25" s="23"/>
      <c r="B25" s="10" t="s">
        <v>273</v>
      </c>
      <c r="C25" s="10" t="s">
        <v>250</v>
      </c>
      <c r="D25" s="10" t="s">
        <v>243</v>
      </c>
      <c r="E25" s="10" t="s">
        <v>107</v>
      </c>
    </row>
    <row r="26" spans="1:5" ht="15" customHeight="1">
      <c r="A26" s="21" t="s">
        <v>274</v>
      </c>
      <c r="B26" s="10" t="s">
        <v>275</v>
      </c>
      <c r="C26" s="10" t="s">
        <v>250</v>
      </c>
      <c r="D26" s="10" t="s">
        <v>243</v>
      </c>
      <c r="E26" s="10" t="s">
        <v>107</v>
      </c>
    </row>
    <row r="27" spans="1:5" ht="15" customHeight="1">
      <c r="A27" s="22"/>
      <c r="B27" s="10" t="s">
        <v>276</v>
      </c>
      <c r="C27" s="10" t="s">
        <v>250</v>
      </c>
      <c r="D27" s="10" t="s">
        <v>243</v>
      </c>
      <c r="E27" s="10" t="s">
        <v>107</v>
      </c>
    </row>
    <row r="28" spans="1:5" ht="15" customHeight="1">
      <c r="A28" s="23"/>
      <c r="B28" s="10" t="s">
        <v>277</v>
      </c>
      <c r="C28" s="10" t="s">
        <v>250</v>
      </c>
      <c r="D28" s="10" t="s">
        <v>243</v>
      </c>
      <c r="E28" s="10" t="s">
        <v>107</v>
      </c>
    </row>
    <row r="29" spans="1:5" ht="15" customHeight="1">
      <c r="A29" s="11" t="s">
        <v>278</v>
      </c>
      <c r="B29" s="10" t="s">
        <v>279</v>
      </c>
      <c r="C29" s="10" t="s">
        <v>250</v>
      </c>
      <c r="D29" s="10" t="s">
        <v>243</v>
      </c>
      <c r="E29" s="10" t="s">
        <v>107</v>
      </c>
    </row>
    <row r="30" spans="1:5" ht="15" customHeight="1">
      <c r="A30" s="21" t="s">
        <v>280</v>
      </c>
      <c r="B30" s="10" t="s">
        <v>281</v>
      </c>
      <c r="C30" s="10" t="s">
        <v>250</v>
      </c>
      <c r="D30" s="10" t="s">
        <v>243</v>
      </c>
      <c r="E30" s="10" t="s">
        <v>107</v>
      </c>
    </row>
    <row r="31" spans="1:5" ht="15" customHeight="1">
      <c r="A31" s="22"/>
      <c r="B31" s="10" t="s">
        <v>282</v>
      </c>
      <c r="C31" s="10" t="s">
        <v>250</v>
      </c>
      <c r="D31" s="10" t="s">
        <v>243</v>
      </c>
      <c r="E31" s="10" t="s">
        <v>107</v>
      </c>
    </row>
    <row r="32" spans="1:5" ht="15" customHeight="1">
      <c r="A32" s="22"/>
      <c r="B32" s="10" t="s">
        <v>283</v>
      </c>
      <c r="C32" s="10" t="s">
        <v>250</v>
      </c>
      <c r="D32" s="10" t="s">
        <v>243</v>
      </c>
      <c r="E32" s="10" t="s">
        <v>107</v>
      </c>
    </row>
    <row r="33" spans="1:5" ht="15" customHeight="1">
      <c r="A33" s="22"/>
      <c r="B33" s="10" t="s">
        <v>284</v>
      </c>
      <c r="C33" s="10" t="s">
        <v>250</v>
      </c>
      <c r="D33" s="10" t="s">
        <v>243</v>
      </c>
      <c r="E33" s="10" t="s">
        <v>107</v>
      </c>
    </row>
    <row r="34" spans="1:5" ht="15" customHeight="1">
      <c r="A34" s="23"/>
      <c r="B34" s="10" t="s">
        <v>285</v>
      </c>
      <c r="C34" s="10" t="s">
        <v>250</v>
      </c>
      <c r="D34" s="10" t="s">
        <v>243</v>
      </c>
      <c r="E34" s="10" t="s">
        <v>107</v>
      </c>
    </row>
  </sheetData>
  <mergeCells count="9">
    <mergeCell ref="C1:D1"/>
    <mergeCell ref="A30:A34"/>
    <mergeCell ref="D16:D18"/>
    <mergeCell ref="A3:A5"/>
    <mergeCell ref="A6:A11"/>
    <mergeCell ref="A16:A18"/>
    <mergeCell ref="A19:A20"/>
    <mergeCell ref="A22:A25"/>
    <mergeCell ref="A26:A28"/>
  </mergeCells>
  <conditionalFormatting sqref="C1:C1048576">
    <cfRule type="cellIs" dxfId="10" priority="7" operator="equal">
      <formula>"N"</formula>
    </cfRule>
    <cfRule type="cellIs" dxfId="9" priority="8" operator="equal">
      <formula>"Y"</formula>
    </cfRule>
  </conditionalFormatting>
  <conditionalFormatting sqref="D3:D4">
    <cfRule type="cellIs" dxfId="8" priority="3" operator="equal">
      <formula>"N"</formula>
    </cfRule>
    <cfRule type="cellIs" dxfId="7" priority="4" operator="equal">
      <formula>"Y"</formula>
    </cfRule>
  </conditionalFormatting>
  <conditionalFormatting sqref="D6:D16 D19:D34">
    <cfRule type="cellIs" dxfId="6" priority="5" operator="equal">
      <formula>"N"</formula>
    </cfRule>
    <cfRule type="cellIs" dxfId="5" priority="6" operator="equal">
      <formula>"Y"</formula>
    </cfRule>
  </conditionalFormatting>
  <conditionalFormatting sqref="E3:E34">
    <cfRule type="cellIs" dxfId="4" priority="1" operator="equal">
      <formula>"N"</formula>
    </cfRule>
    <cfRule type="cellIs" dxfId="3" priority="2" operator="equal">
      <formula>"Y"</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06D47-F7BB-453B-9752-9621A509BA1D}">
  <dimension ref="A1:G19"/>
  <sheetViews>
    <sheetView workbookViewId="0">
      <selection activeCell="E33" sqref="E33"/>
    </sheetView>
  </sheetViews>
  <sheetFormatPr defaultRowHeight="14.45"/>
  <cols>
    <col min="1" max="1" width="21.85546875" customWidth="1"/>
    <col min="2" max="2" width="10.85546875" customWidth="1"/>
  </cols>
  <sheetData>
    <row r="1" spans="1:7">
      <c r="A1" s="4" t="s">
        <v>286</v>
      </c>
    </row>
    <row r="2" spans="1:7">
      <c r="A2" t="s">
        <v>287</v>
      </c>
      <c r="B2" t="s">
        <v>288</v>
      </c>
    </row>
    <row r="3" spans="1:7">
      <c r="A3" t="s">
        <v>289</v>
      </c>
      <c r="B3" t="s">
        <v>290</v>
      </c>
    </row>
    <row r="4" spans="1:7">
      <c r="A4" t="s">
        <v>291</v>
      </c>
      <c r="B4">
        <v>0.8</v>
      </c>
      <c r="G4" s="15"/>
    </row>
    <row r="5" spans="1:7">
      <c r="A5" t="s">
        <v>292</v>
      </c>
      <c r="B5">
        <v>0.84</v>
      </c>
      <c r="G5" s="15"/>
    </row>
    <row r="6" spans="1:7">
      <c r="A6" t="s">
        <v>293</v>
      </c>
      <c r="B6">
        <v>0.68799999999999994</v>
      </c>
      <c r="D6" s="15"/>
    </row>
    <row r="7" spans="1:7">
      <c r="A7" t="s">
        <v>294</v>
      </c>
      <c r="B7">
        <v>1</v>
      </c>
      <c r="D7" s="15"/>
    </row>
    <row r="9" spans="1:7">
      <c r="A9" s="4" t="s">
        <v>295</v>
      </c>
    </row>
    <row r="10" spans="1:7">
      <c r="A10" t="s">
        <v>287</v>
      </c>
      <c r="B10" t="s">
        <v>296</v>
      </c>
    </row>
    <row r="11" spans="1:7">
      <c r="A11" t="s">
        <v>289</v>
      </c>
      <c r="B11" t="s">
        <v>297</v>
      </c>
    </row>
    <row r="12" spans="1:7">
      <c r="A12" t="s">
        <v>298</v>
      </c>
      <c r="B12">
        <v>0.63800000000000001</v>
      </c>
    </row>
    <row r="14" spans="1:7">
      <c r="A14" s="4" t="s">
        <v>299</v>
      </c>
    </row>
    <row r="15" spans="1:7">
      <c r="A15" t="s">
        <v>287</v>
      </c>
      <c r="B15" t="s">
        <v>300</v>
      </c>
    </row>
    <row r="16" spans="1:7">
      <c r="A16" t="s">
        <v>289</v>
      </c>
      <c r="B16" t="s">
        <v>301</v>
      </c>
    </row>
    <row r="17" spans="1:2">
      <c r="A17" t="s">
        <v>298</v>
      </c>
      <c r="B17">
        <f>17/14</f>
        <v>1.2142857142857142</v>
      </c>
    </row>
    <row r="18" spans="1:2">
      <c r="A18" s="12"/>
    </row>
    <row r="19" spans="1:2">
      <c r="A19"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FEA1-1D2B-4CC0-B43D-DD39ABC85E81}">
  <dimension ref="B2:S93"/>
  <sheetViews>
    <sheetView topLeftCell="A4" zoomScale="85" zoomScaleNormal="85" workbookViewId="0">
      <selection activeCell="V48" sqref="V48"/>
    </sheetView>
  </sheetViews>
  <sheetFormatPr defaultRowHeight="14.45"/>
  <cols>
    <col min="2" max="2" width="33.42578125" bestFit="1" customWidth="1"/>
    <col min="3" max="3" width="15.5703125" bestFit="1" customWidth="1"/>
    <col min="4" max="4" width="5.85546875" bestFit="1" customWidth="1"/>
    <col min="5" max="5" width="10.5703125" hidden="1" customWidth="1"/>
    <col min="6" max="7" width="5.85546875" bestFit="1" customWidth="1"/>
    <col min="8" max="8" width="10.5703125" hidden="1" customWidth="1"/>
    <col min="9" max="9" width="5.85546875" bestFit="1" customWidth="1"/>
    <col min="10" max="10" width="6.85546875" bestFit="1" customWidth="1"/>
    <col min="11" max="11" width="8" hidden="1" customWidth="1"/>
    <col min="12" max="12" width="10.7109375" hidden="1" customWidth="1"/>
    <col min="13" max="13" width="6.85546875" bestFit="1" customWidth="1"/>
    <col min="14" max="14" width="14.85546875" customWidth="1"/>
    <col min="15" max="15" width="2.28515625" customWidth="1"/>
    <col min="16" max="16" width="10.5703125" customWidth="1"/>
    <col min="17" max="17" width="2" customWidth="1"/>
    <col min="18" max="18" width="13.42578125" customWidth="1"/>
    <col min="19" max="19" width="10.5703125" customWidth="1"/>
  </cols>
  <sheetData>
    <row r="2" spans="2:18">
      <c r="B2" s="6" t="s">
        <v>8</v>
      </c>
      <c r="C2" t="s">
        <v>302</v>
      </c>
    </row>
    <row r="4" spans="2:18">
      <c r="B4" s="6" t="s">
        <v>303</v>
      </c>
      <c r="C4" s="6" t="s">
        <v>304</v>
      </c>
      <c r="N4" s="16" t="s">
        <v>305</v>
      </c>
      <c r="O4" s="16"/>
      <c r="P4" s="16"/>
      <c r="Q4" s="16"/>
      <c r="R4" s="16"/>
    </row>
    <row r="5" spans="2:18">
      <c r="C5" t="s">
        <v>13</v>
      </c>
      <c r="E5" t="s">
        <v>306</v>
      </c>
      <c r="F5" t="s">
        <v>62</v>
      </c>
      <c r="H5" t="s">
        <v>307</v>
      </c>
      <c r="I5" t="s">
        <v>77</v>
      </c>
      <c r="K5" t="s">
        <v>308</v>
      </c>
      <c r="L5" t="s">
        <v>309</v>
      </c>
      <c r="N5" s="16" t="s">
        <v>13</v>
      </c>
      <c r="O5" s="16"/>
      <c r="P5" s="16" t="s">
        <v>62</v>
      </c>
      <c r="Q5" s="16"/>
      <c r="R5" s="16" t="s">
        <v>77</v>
      </c>
    </row>
    <row r="6" spans="2:18">
      <c r="B6" s="6" t="s">
        <v>310</v>
      </c>
      <c r="C6" t="s">
        <v>19</v>
      </c>
      <c r="D6" t="s">
        <v>107</v>
      </c>
      <c r="F6" t="s">
        <v>19</v>
      </c>
      <c r="G6" t="s">
        <v>107</v>
      </c>
      <c r="I6" t="s">
        <v>19</v>
      </c>
      <c r="J6" t="s">
        <v>107</v>
      </c>
      <c r="N6" s="16" t="s">
        <v>311</v>
      </c>
      <c r="O6" s="16"/>
      <c r="P6" s="16" t="s">
        <v>311</v>
      </c>
      <c r="Q6" s="16"/>
      <c r="R6" s="16" t="s">
        <v>311</v>
      </c>
    </row>
    <row r="7" spans="2:18">
      <c r="B7" s="7" t="s">
        <v>14</v>
      </c>
      <c r="C7" s="9">
        <v>3560</v>
      </c>
      <c r="D7" s="9">
        <v>1637.26</v>
      </c>
      <c r="E7" s="9">
        <v>5197.26</v>
      </c>
      <c r="F7" s="9">
        <v>1700</v>
      </c>
      <c r="G7" s="9">
        <v>10122.93</v>
      </c>
      <c r="H7" s="9">
        <v>11822.93</v>
      </c>
      <c r="I7" s="9">
        <v>7100</v>
      </c>
      <c r="J7" s="9">
        <v>3077.1</v>
      </c>
      <c r="K7" s="9">
        <v>10177.1</v>
      </c>
      <c r="L7" s="9">
        <v>27197.29</v>
      </c>
    </row>
    <row r="8" spans="2:18">
      <c r="B8" s="8" t="s">
        <v>14</v>
      </c>
      <c r="C8" s="9">
        <v>3560</v>
      </c>
      <c r="D8" s="9">
        <v>1637.26</v>
      </c>
      <c r="E8" s="9">
        <v>5197.26</v>
      </c>
      <c r="F8" s="9">
        <v>1700</v>
      </c>
      <c r="G8" s="9">
        <v>10122.93</v>
      </c>
      <c r="H8" s="9">
        <v>11822.93</v>
      </c>
      <c r="I8" s="9">
        <v>7100</v>
      </c>
      <c r="J8" s="9">
        <v>3077.1</v>
      </c>
      <c r="K8" s="9">
        <v>10177.1</v>
      </c>
      <c r="L8" s="9">
        <v>27197.29</v>
      </c>
      <c r="N8" s="17">
        <f t="shared" ref="N8:S8" si="0">N53/O53</f>
        <v>2.1743644870087828</v>
      </c>
      <c r="O8" s="17"/>
      <c r="P8" s="17">
        <f t="shared" si="0"/>
        <v>0.16793556806181609</v>
      </c>
      <c r="Q8" s="17"/>
      <c r="R8" s="17">
        <f t="shared" si="0"/>
        <v>2.3073673263787331</v>
      </c>
    </row>
    <row r="9" spans="2:18">
      <c r="B9" s="7" t="s">
        <v>52</v>
      </c>
      <c r="C9" s="9">
        <v>37.6</v>
      </c>
      <c r="D9" s="9">
        <v>1328.3200000000002</v>
      </c>
      <c r="E9" s="9">
        <v>1365.92</v>
      </c>
      <c r="F9" s="9">
        <v>816.8</v>
      </c>
      <c r="G9" s="9">
        <v>2784.02</v>
      </c>
      <c r="H9" s="9">
        <v>3600.82</v>
      </c>
      <c r="I9" s="9">
        <v>1555.2</v>
      </c>
      <c r="J9" s="9">
        <v>6251.27</v>
      </c>
      <c r="K9" s="9">
        <v>7806.47</v>
      </c>
      <c r="L9" s="9">
        <v>12773.210000000001</v>
      </c>
      <c r="N9" s="17"/>
      <c r="O9" s="17"/>
      <c r="P9" s="17"/>
      <c r="Q9" s="17"/>
      <c r="R9" s="17"/>
    </row>
    <row r="10" spans="2:18">
      <c r="B10" s="8" t="s">
        <v>56</v>
      </c>
      <c r="C10" s="9">
        <v>37.6</v>
      </c>
      <c r="D10" s="9">
        <v>135.52000000000001</v>
      </c>
      <c r="E10" s="9">
        <v>173.12</v>
      </c>
      <c r="F10" s="9">
        <v>296.8</v>
      </c>
      <c r="G10" s="9">
        <v>268.51</v>
      </c>
      <c r="H10" s="9">
        <v>565.30999999999995</v>
      </c>
      <c r="I10" s="9">
        <v>379.20000000000005</v>
      </c>
      <c r="J10" s="9">
        <v>596.25</v>
      </c>
      <c r="K10" s="9">
        <v>975.45</v>
      </c>
      <c r="L10" s="9">
        <v>1713.88</v>
      </c>
      <c r="N10" s="17">
        <f t="shared" ref="N10:S10" si="1">N55/O55</f>
        <v>0.27744982290436837</v>
      </c>
      <c r="O10" s="17"/>
      <c r="P10" s="17">
        <f t="shared" si="1"/>
        <v>1.1053592044989013</v>
      </c>
      <c r="Q10" s="17"/>
      <c r="R10" s="17">
        <f t="shared" si="1"/>
        <v>0.63597484276729566</v>
      </c>
    </row>
    <row r="11" spans="2:18">
      <c r="B11" s="8" t="s">
        <v>53</v>
      </c>
      <c r="C11" s="9">
        <v>0</v>
      </c>
      <c r="D11" s="9">
        <v>735.62</v>
      </c>
      <c r="E11" s="9">
        <v>735.62</v>
      </c>
      <c r="F11" s="9">
        <v>520</v>
      </c>
      <c r="G11" s="9">
        <v>1457.49</v>
      </c>
      <c r="H11" s="9">
        <v>1977.49</v>
      </c>
      <c r="I11" s="9">
        <v>1176</v>
      </c>
      <c r="J11" s="9">
        <v>3236.42</v>
      </c>
      <c r="K11" s="9">
        <v>4412.42</v>
      </c>
      <c r="L11" s="9">
        <v>7125.53</v>
      </c>
      <c r="N11" s="18">
        <f t="shared" ref="N11:S11" si="2">N56/O56</f>
        <v>0</v>
      </c>
      <c r="O11" s="17"/>
      <c r="P11" s="17">
        <f t="shared" si="2"/>
        <v>0.35677774804629875</v>
      </c>
      <c r="Q11" s="17"/>
      <c r="R11" s="17">
        <f t="shared" si="2"/>
        <v>0.36336445825943481</v>
      </c>
    </row>
    <row r="12" spans="2:18">
      <c r="B12" s="8" t="s">
        <v>109</v>
      </c>
      <c r="C12" s="9"/>
      <c r="D12" s="9">
        <v>330.51</v>
      </c>
      <c r="E12" s="9">
        <v>330.51</v>
      </c>
      <c r="F12" s="9"/>
      <c r="G12" s="9">
        <v>764.87</v>
      </c>
      <c r="H12" s="9">
        <v>764.87</v>
      </c>
      <c r="I12" s="9"/>
      <c r="J12" s="9">
        <v>1748.47</v>
      </c>
      <c r="K12" s="9">
        <v>1748.47</v>
      </c>
      <c r="L12" s="9">
        <v>2843.8500000000004</v>
      </c>
      <c r="N12" s="17"/>
      <c r="O12" s="17"/>
      <c r="P12" s="17"/>
      <c r="Q12" s="17"/>
      <c r="R12" s="17"/>
    </row>
    <row r="13" spans="2:18">
      <c r="B13" s="8" t="s">
        <v>111</v>
      </c>
      <c r="C13" s="9"/>
      <c r="D13" s="9">
        <v>126.67</v>
      </c>
      <c r="E13" s="9">
        <v>126.67</v>
      </c>
      <c r="F13" s="9"/>
      <c r="G13" s="9">
        <v>293.14999999999998</v>
      </c>
      <c r="H13" s="9">
        <v>293.14999999999998</v>
      </c>
      <c r="I13" s="9"/>
      <c r="J13" s="9">
        <v>670.13</v>
      </c>
      <c r="K13" s="9">
        <v>670.13</v>
      </c>
      <c r="L13" s="9">
        <v>1089.95</v>
      </c>
      <c r="N13" s="17"/>
      <c r="O13" s="17"/>
      <c r="P13" s="17"/>
      <c r="Q13" s="17"/>
      <c r="R13" s="17"/>
    </row>
    <row r="14" spans="2:18">
      <c r="B14" s="7" t="s">
        <v>20</v>
      </c>
      <c r="C14" s="9">
        <v>17</v>
      </c>
      <c r="D14" s="9">
        <v>17</v>
      </c>
      <c r="E14" s="9">
        <v>34</v>
      </c>
      <c r="F14" s="9">
        <v>2080.7142857142858</v>
      </c>
      <c r="G14" s="9">
        <v>364.29</v>
      </c>
      <c r="H14" s="9">
        <v>2445.0042857142857</v>
      </c>
      <c r="I14" s="9">
        <v>852.57142857142856</v>
      </c>
      <c r="J14" s="9">
        <v>959.29</v>
      </c>
      <c r="K14" s="9">
        <v>1811.8614285714284</v>
      </c>
      <c r="L14" s="9">
        <v>4290.8657142857137</v>
      </c>
      <c r="N14" s="17"/>
      <c r="O14" s="17"/>
      <c r="P14" s="17"/>
      <c r="Q14" s="17"/>
      <c r="R14" s="17"/>
    </row>
    <row r="15" spans="2:18">
      <c r="B15" s="8" t="s">
        <v>21</v>
      </c>
      <c r="C15" s="9">
        <v>17</v>
      </c>
      <c r="D15" s="9">
        <v>17</v>
      </c>
      <c r="E15" s="9">
        <v>34</v>
      </c>
      <c r="F15" s="9">
        <v>400.71428571428567</v>
      </c>
      <c r="G15" s="9">
        <v>364.29</v>
      </c>
      <c r="H15" s="9">
        <v>765.00428571428574</v>
      </c>
      <c r="I15" s="9">
        <v>48.571428571428569</v>
      </c>
      <c r="J15" s="9">
        <v>959.29</v>
      </c>
      <c r="K15" s="9">
        <v>1007.8614285714285</v>
      </c>
      <c r="L15" s="9">
        <v>1806.8657142857141</v>
      </c>
      <c r="N15" s="17">
        <f t="shared" ref="N15:S15" si="3">N60/O60</f>
        <v>1</v>
      </c>
      <c r="O15" s="17"/>
      <c r="P15" s="17">
        <f t="shared" si="3"/>
        <v>1.0999870589757765</v>
      </c>
      <c r="Q15" s="17"/>
      <c r="R15" s="17">
        <f t="shared" si="3"/>
        <v>5.0632685185323073E-2</v>
      </c>
    </row>
    <row r="16" spans="2:18">
      <c r="B16" s="8" t="s">
        <v>30</v>
      </c>
      <c r="C16" s="9">
        <v>0</v>
      </c>
      <c r="D16" s="9"/>
      <c r="E16" s="9">
        <v>0</v>
      </c>
      <c r="F16" s="9">
        <v>1680</v>
      </c>
      <c r="G16" s="9"/>
      <c r="H16" s="9">
        <v>1680</v>
      </c>
      <c r="I16" s="9">
        <v>804</v>
      </c>
      <c r="J16" s="9"/>
      <c r="K16" s="9">
        <v>804</v>
      </c>
      <c r="L16" s="9">
        <v>2484</v>
      </c>
      <c r="N16" s="17"/>
      <c r="O16" s="17"/>
      <c r="P16" s="17"/>
      <c r="Q16" s="17"/>
      <c r="R16" s="17"/>
    </row>
    <row r="17" spans="2:18">
      <c r="B17" s="8" t="s">
        <v>25</v>
      </c>
      <c r="C17" s="9">
        <v>0</v>
      </c>
      <c r="D17" s="9"/>
      <c r="E17" s="9">
        <v>0</v>
      </c>
      <c r="F17" s="9">
        <v>0</v>
      </c>
      <c r="G17" s="9"/>
      <c r="H17" s="9">
        <v>0</v>
      </c>
      <c r="I17" s="9">
        <v>0</v>
      </c>
      <c r="J17" s="9"/>
      <c r="K17" s="9">
        <v>0</v>
      </c>
      <c r="L17" s="9">
        <v>0</v>
      </c>
      <c r="N17" s="17"/>
      <c r="O17" s="17"/>
      <c r="P17" s="17"/>
      <c r="Q17" s="17"/>
      <c r="R17" s="17"/>
    </row>
    <row r="18" spans="2:18">
      <c r="B18" s="7" t="s">
        <v>121</v>
      </c>
      <c r="C18" s="9"/>
      <c r="D18" s="9">
        <v>3522.76</v>
      </c>
      <c r="E18" s="9">
        <v>3522.76</v>
      </c>
      <c r="F18" s="9"/>
      <c r="G18" s="9">
        <v>3382.16</v>
      </c>
      <c r="H18" s="9">
        <v>3382.16</v>
      </c>
      <c r="I18" s="9"/>
      <c r="J18" s="9">
        <v>23956.37</v>
      </c>
      <c r="K18" s="9">
        <v>23956.37</v>
      </c>
      <c r="L18" s="9">
        <v>30861.29</v>
      </c>
      <c r="N18" s="17"/>
      <c r="O18" s="17"/>
      <c r="P18" s="17"/>
      <c r="Q18" s="17"/>
      <c r="R18" s="17"/>
    </row>
    <row r="19" spans="2:18">
      <c r="B19" s="8" t="s">
        <v>121</v>
      </c>
      <c r="C19" s="9"/>
      <c r="D19" s="9">
        <v>3522.76</v>
      </c>
      <c r="E19" s="9">
        <v>3522.76</v>
      </c>
      <c r="F19" s="9"/>
      <c r="G19" s="9">
        <v>3382.16</v>
      </c>
      <c r="H19" s="9">
        <v>3382.16</v>
      </c>
      <c r="I19" s="9"/>
      <c r="J19" s="9">
        <v>23956.37</v>
      </c>
      <c r="K19" s="9">
        <v>23956.37</v>
      </c>
      <c r="L19" s="9">
        <v>30861.29</v>
      </c>
      <c r="N19" s="18"/>
      <c r="O19" s="18"/>
      <c r="P19" s="18"/>
      <c r="Q19" s="18"/>
      <c r="R19" s="18"/>
    </row>
    <row r="20" spans="2:18">
      <c r="B20" s="7" t="s">
        <v>42</v>
      </c>
      <c r="C20" s="9">
        <v>169</v>
      </c>
      <c r="D20" s="9">
        <v>333.44</v>
      </c>
      <c r="E20" s="9">
        <v>502.44</v>
      </c>
      <c r="F20" s="9">
        <v>50</v>
      </c>
      <c r="G20" s="9">
        <v>2061.58</v>
      </c>
      <c r="H20" s="9">
        <v>2111.58</v>
      </c>
      <c r="I20" s="9">
        <v>3000</v>
      </c>
      <c r="J20" s="9">
        <v>626.66</v>
      </c>
      <c r="K20" s="9">
        <v>3626.66</v>
      </c>
      <c r="L20" s="9">
        <v>6240.68</v>
      </c>
      <c r="N20" s="17">
        <f t="shared" ref="N20:S20" si="4">N65/O65</f>
        <v>0.50683781190019195</v>
      </c>
      <c r="O20" s="17"/>
      <c r="P20" s="17">
        <f t="shared" si="4"/>
        <v>2.4253242658543447E-2</v>
      </c>
      <c r="Q20" s="17"/>
      <c r="R20" s="17">
        <f t="shared" si="4"/>
        <v>4.7872849711167147</v>
      </c>
    </row>
    <row r="21" spans="2:18">
      <c r="B21" s="8" t="s">
        <v>115</v>
      </c>
      <c r="C21" s="9"/>
      <c r="D21" s="9">
        <v>333.44</v>
      </c>
      <c r="E21" s="9">
        <v>333.44</v>
      </c>
      <c r="F21" s="9"/>
      <c r="G21" s="9">
        <v>2061.58</v>
      </c>
      <c r="H21" s="9">
        <v>2061.58</v>
      </c>
      <c r="I21" s="9"/>
      <c r="J21" s="9">
        <v>626.66</v>
      </c>
      <c r="K21" s="9">
        <v>626.66</v>
      </c>
      <c r="L21" s="9">
        <v>3021.68</v>
      </c>
      <c r="N21" s="17"/>
      <c r="O21" s="17"/>
      <c r="P21" s="17"/>
      <c r="Q21" s="17"/>
      <c r="R21" s="17"/>
    </row>
    <row r="22" spans="2:18">
      <c r="B22" s="8" t="s">
        <v>43</v>
      </c>
      <c r="C22" s="9">
        <v>169</v>
      </c>
      <c r="D22" s="9"/>
      <c r="E22" s="9">
        <v>169</v>
      </c>
      <c r="F22" s="9">
        <v>0</v>
      </c>
      <c r="G22" s="9"/>
      <c r="H22" s="9">
        <v>0</v>
      </c>
      <c r="I22" s="9">
        <v>1800</v>
      </c>
      <c r="J22" s="9"/>
      <c r="K22" s="9">
        <v>1800</v>
      </c>
      <c r="L22" s="9">
        <v>1969</v>
      </c>
      <c r="N22" s="17"/>
      <c r="O22" s="17"/>
      <c r="P22" s="17"/>
      <c r="Q22" s="17"/>
      <c r="R22" s="17"/>
    </row>
    <row r="23" spans="2:18">
      <c r="B23" s="8" t="s">
        <v>47</v>
      </c>
      <c r="C23" s="9">
        <v>0</v>
      </c>
      <c r="D23" s="9"/>
      <c r="E23" s="9">
        <v>0</v>
      </c>
      <c r="F23" s="9">
        <v>50</v>
      </c>
      <c r="G23" s="9"/>
      <c r="H23" s="9">
        <v>50</v>
      </c>
      <c r="I23" s="9">
        <v>300</v>
      </c>
      <c r="J23" s="9"/>
      <c r="K23" s="9">
        <v>300</v>
      </c>
      <c r="L23" s="9">
        <v>350</v>
      </c>
      <c r="N23" s="17"/>
      <c r="O23" s="17"/>
      <c r="P23" s="17"/>
      <c r="Q23" s="17"/>
      <c r="R23" s="17"/>
    </row>
    <row r="24" spans="2:18">
      <c r="B24" s="8" t="s">
        <v>50</v>
      </c>
      <c r="C24" s="9">
        <v>0</v>
      </c>
      <c r="D24" s="9"/>
      <c r="E24" s="9">
        <v>0</v>
      </c>
      <c r="F24" s="9">
        <v>0</v>
      </c>
      <c r="G24" s="9"/>
      <c r="H24" s="9">
        <v>0</v>
      </c>
      <c r="I24" s="9">
        <v>900</v>
      </c>
      <c r="J24" s="9"/>
      <c r="K24" s="9">
        <v>900</v>
      </c>
      <c r="L24" s="9">
        <v>900</v>
      </c>
      <c r="N24" s="17"/>
      <c r="O24" s="17"/>
      <c r="P24" s="17"/>
      <c r="Q24" s="17"/>
      <c r="R24" s="17"/>
    </row>
    <row r="25" spans="2:18">
      <c r="B25" s="7" t="s">
        <v>98</v>
      </c>
      <c r="C25" s="9">
        <v>351</v>
      </c>
      <c r="D25" s="9">
        <v>0</v>
      </c>
      <c r="E25" s="9">
        <v>351</v>
      </c>
      <c r="F25" s="9">
        <v>1400</v>
      </c>
      <c r="G25" s="9">
        <v>0</v>
      </c>
      <c r="H25" s="9">
        <v>1400</v>
      </c>
      <c r="I25" s="9">
        <v>168</v>
      </c>
      <c r="J25" s="9">
        <v>0</v>
      </c>
      <c r="K25" s="9">
        <v>168</v>
      </c>
      <c r="L25" s="9">
        <v>1919</v>
      </c>
      <c r="N25" s="17"/>
      <c r="O25" s="17"/>
      <c r="P25" s="17"/>
      <c r="Q25" s="17"/>
      <c r="R25" s="17"/>
    </row>
    <row r="26" spans="2:18">
      <c r="B26" s="8" t="s">
        <v>123</v>
      </c>
      <c r="C26" s="9"/>
      <c r="D26" s="9">
        <v>0</v>
      </c>
      <c r="E26" s="9">
        <v>0</v>
      </c>
      <c r="F26" s="9"/>
      <c r="G26" s="9">
        <v>0</v>
      </c>
      <c r="H26" s="9">
        <v>0</v>
      </c>
      <c r="I26" s="9"/>
      <c r="J26" s="9">
        <v>0</v>
      </c>
      <c r="K26" s="9">
        <v>0</v>
      </c>
      <c r="L26" s="9">
        <v>0</v>
      </c>
      <c r="N26" s="17"/>
      <c r="O26" s="17"/>
      <c r="P26" s="17"/>
      <c r="Q26" s="17"/>
      <c r="R26" s="17"/>
    </row>
    <row r="27" spans="2:18">
      <c r="B27" s="8" t="s">
        <v>99</v>
      </c>
      <c r="C27" s="9">
        <v>0</v>
      </c>
      <c r="D27" s="9">
        <v>0</v>
      </c>
      <c r="E27" s="9">
        <v>0</v>
      </c>
      <c r="F27" s="9">
        <v>1400</v>
      </c>
      <c r="G27" s="9">
        <v>0</v>
      </c>
      <c r="H27" s="9">
        <v>1400</v>
      </c>
      <c r="I27" s="9">
        <v>38</v>
      </c>
      <c r="J27" s="9">
        <v>0</v>
      </c>
      <c r="K27" s="9">
        <v>38</v>
      </c>
      <c r="L27" s="9">
        <v>1438</v>
      </c>
      <c r="N27" s="18" t="e">
        <f t="shared" ref="N27:S27" si="5">N72/O72</f>
        <v>#DIV/0!</v>
      </c>
      <c r="O27" s="18"/>
      <c r="P27" s="18" t="e">
        <f t="shared" si="5"/>
        <v>#DIV/0!</v>
      </c>
      <c r="Q27" s="18"/>
      <c r="R27" s="18" t="e">
        <f t="shared" si="5"/>
        <v>#DIV/0!</v>
      </c>
    </row>
    <row r="28" spans="2:18">
      <c r="B28" s="8" t="s">
        <v>102</v>
      </c>
      <c r="C28" s="9">
        <v>351</v>
      </c>
      <c r="D28" s="9">
        <v>0</v>
      </c>
      <c r="E28" s="9">
        <v>351</v>
      </c>
      <c r="F28" s="9">
        <v>0</v>
      </c>
      <c r="G28" s="9">
        <v>0</v>
      </c>
      <c r="H28" s="9">
        <v>0</v>
      </c>
      <c r="I28" s="9">
        <v>130</v>
      </c>
      <c r="J28" s="9">
        <v>0</v>
      </c>
      <c r="K28" s="9">
        <v>130</v>
      </c>
      <c r="L28" s="9">
        <v>481</v>
      </c>
      <c r="N28" s="18" t="e">
        <f t="shared" ref="N28:S28" si="6">N73/O73</f>
        <v>#DIV/0!</v>
      </c>
      <c r="O28" s="18"/>
      <c r="P28" s="18" t="e">
        <f t="shared" si="6"/>
        <v>#DIV/0!</v>
      </c>
      <c r="Q28" s="18"/>
      <c r="R28" s="18" t="e">
        <f t="shared" si="6"/>
        <v>#DIV/0!</v>
      </c>
    </row>
    <row r="29" spans="2:18">
      <c r="B29" s="8" t="s">
        <v>124</v>
      </c>
      <c r="C29" s="9"/>
      <c r="D29" s="9">
        <v>0</v>
      </c>
      <c r="E29" s="9">
        <v>0</v>
      </c>
      <c r="F29" s="9"/>
      <c r="G29" s="9">
        <v>0</v>
      </c>
      <c r="H29" s="9">
        <v>0</v>
      </c>
      <c r="I29" s="9"/>
      <c r="J29" s="9">
        <v>0</v>
      </c>
      <c r="K29" s="9">
        <v>0</v>
      </c>
      <c r="L29" s="9">
        <v>0</v>
      </c>
      <c r="N29" s="17"/>
      <c r="O29" s="17"/>
      <c r="P29" s="17"/>
      <c r="Q29" s="17"/>
      <c r="R29" s="17"/>
    </row>
    <row r="30" spans="2:18">
      <c r="B30" s="7" t="s">
        <v>126</v>
      </c>
      <c r="C30" s="9"/>
      <c r="D30" s="9">
        <v>25860.6</v>
      </c>
      <c r="E30" s="9">
        <v>25860.6</v>
      </c>
      <c r="F30" s="9"/>
      <c r="G30" s="9">
        <v>8950.32</v>
      </c>
      <c r="H30" s="9">
        <v>8950.32</v>
      </c>
      <c r="I30" s="9"/>
      <c r="J30" s="9">
        <v>296868.80000000005</v>
      </c>
      <c r="K30" s="9">
        <v>296868.80000000005</v>
      </c>
      <c r="L30" s="9">
        <v>331679.71999999997</v>
      </c>
      <c r="N30" s="17"/>
      <c r="O30" s="17"/>
      <c r="P30" s="17"/>
      <c r="Q30" s="17"/>
      <c r="R30" s="17"/>
    </row>
    <row r="31" spans="2:18">
      <c r="B31" s="8" t="s">
        <v>128</v>
      </c>
      <c r="C31" s="9"/>
      <c r="D31" s="9">
        <v>3584.44</v>
      </c>
      <c r="E31" s="9">
        <v>3584.44</v>
      </c>
      <c r="F31" s="9"/>
      <c r="G31" s="9">
        <v>4107.08</v>
      </c>
      <c r="H31" s="9">
        <v>4107.08</v>
      </c>
      <c r="I31" s="9"/>
      <c r="J31" s="9">
        <v>75280.94</v>
      </c>
      <c r="K31" s="9">
        <v>75280.94</v>
      </c>
      <c r="L31" s="9">
        <v>82972.460000000006</v>
      </c>
      <c r="N31" s="17"/>
      <c r="O31" s="17"/>
      <c r="P31" s="17"/>
      <c r="Q31" s="17"/>
      <c r="R31" s="17"/>
    </row>
    <row r="32" spans="2:18">
      <c r="B32" s="8" t="s">
        <v>131</v>
      </c>
      <c r="C32" s="9"/>
      <c r="D32" s="9">
        <v>8032.98</v>
      </c>
      <c r="E32" s="9">
        <v>8032.98</v>
      </c>
      <c r="F32" s="9"/>
      <c r="G32" s="9">
        <v>2100.37</v>
      </c>
      <c r="H32" s="9">
        <v>2100.37</v>
      </c>
      <c r="I32" s="9"/>
      <c r="J32" s="9">
        <v>170589.19</v>
      </c>
      <c r="K32" s="9">
        <v>170589.19</v>
      </c>
      <c r="L32" s="9">
        <v>180722.54</v>
      </c>
      <c r="N32" s="17"/>
      <c r="O32" s="17"/>
      <c r="P32" s="17"/>
      <c r="Q32" s="17"/>
      <c r="R32" s="17"/>
    </row>
    <row r="33" spans="2:18">
      <c r="B33" s="8" t="s">
        <v>129</v>
      </c>
      <c r="C33" s="9"/>
      <c r="D33" s="9">
        <v>639.09</v>
      </c>
      <c r="E33" s="9">
        <v>639.09</v>
      </c>
      <c r="F33" s="9"/>
      <c r="G33" s="9">
        <v>192.32</v>
      </c>
      <c r="H33" s="9">
        <v>192.32</v>
      </c>
      <c r="I33" s="9"/>
      <c r="J33" s="9">
        <v>9402.5</v>
      </c>
      <c r="K33" s="9">
        <v>9402.5</v>
      </c>
      <c r="L33" s="9">
        <v>10233.91</v>
      </c>
      <c r="N33" s="17"/>
      <c r="O33" s="17"/>
      <c r="P33" s="17"/>
      <c r="Q33" s="17"/>
      <c r="R33" s="17"/>
    </row>
    <row r="34" spans="2:18">
      <c r="B34" s="8" t="s">
        <v>127</v>
      </c>
      <c r="C34" s="9"/>
      <c r="D34" s="9">
        <v>13604.09</v>
      </c>
      <c r="E34" s="9">
        <v>13604.09</v>
      </c>
      <c r="F34" s="9"/>
      <c r="G34" s="9">
        <v>1827.29</v>
      </c>
      <c r="H34" s="9">
        <v>1827.29</v>
      </c>
      <c r="I34" s="9"/>
      <c r="J34" s="9">
        <v>41261.53</v>
      </c>
      <c r="K34" s="9">
        <v>41261.53</v>
      </c>
      <c r="L34" s="9">
        <v>56692.91</v>
      </c>
      <c r="N34" s="17"/>
      <c r="O34" s="17"/>
      <c r="P34" s="17"/>
      <c r="Q34" s="17"/>
      <c r="R34" s="17"/>
    </row>
    <row r="35" spans="2:18">
      <c r="B35" s="8" t="s">
        <v>130</v>
      </c>
      <c r="C35" s="9"/>
      <c r="D35" s="9">
        <v>0</v>
      </c>
      <c r="E35" s="9">
        <v>0</v>
      </c>
      <c r="F35" s="9"/>
      <c r="G35" s="9">
        <v>723.26</v>
      </c>
      <c r="H35" s="9">
        <v>723.26</v>
      </c>
      <c r="I35" s="9"/>
      <c r="J35" s="9">
        <v>334.64</v>
      </c>
      <c r="K35" s="9">
        <v>334.64</v>
      </c>
      <c r="L35" s="9">
        <v>1057.9000000000001</v>
      </c>
      <c r="N35" s="17"/>
      <c r="O35" s="17"/>
      <c r="P35" s="17"/>
      <c r="Q35" s="17"/>
      <c r="R35" s="17"/>
    </row>
    <row r="36" spans="2:18">
      <c r="B36" s="7" t="s">
        <v>112</v>
      </c>
      <c r="C36" s="9"/>
      <c r="D36" s="9">
        <v>2940.82</v>
      </c>
      <c r="E36" s="9">
        <v>2940.82</v>
      </c>
      <c r="F36" s="9"/>
      <c r="G36" s="9">
        <v>18182.62</v>
      </c>
      <c r="H36" s="9">
        <v>18182.62</v>
      </c>
      <c r="I36" s="9"/>
      <c r="J36" s="9">
        <v>5527.03</v>
      </c>
      <c r="K36" s="9">
        <v>5527.03</v>
      </c>
      <c r="L36" s="9">
        <v>26650.469999999998</v>
      </c>
      <c r="N36" s="17"/>
      <c r="O36" s="17"/>
      <c r="P36" s="17"/>
      <c r="Q36" s="17"/>
      <c r="R36" s="17"/>
    </row>
    <row r="37" spans="2:18">
      <c r="B37" s="8" t="s">
        <v>113</v>
      </c>
      <c r="C37" s="9"/>
      <c r="D37" s="9">
        <v>2940.82</v>
      </c>
      <c r="E37" s="9">
        <v>2940.82</v>
      </c>
      <c r="F37" s="9"/>
      <c r="G37" s="9">
        <v>18182.62</v>
      </c>
      <c r="H37" s="9">
        <v>18182.62</v>
      </c>
      <c r="I37" s="9"/>
      <c r="J37" s="9">
        <v>5527.03</v>
      </c>
      <c r="K37" s="9">
        <v>5527.03</v>
      </c>
      <c r="L37" s="9">
        <v>26650.469999999998</v>
      </c>
      <c r="N37" s="17"/>
      <c r="O37" s="17"/>
      <c r="P37" s="17"/>
      <c r="Q37" s="17"/>
      <c r="R37" s="17"/>
    </row>
    <row r="38" spans="2:18">
      <c r="B38" s="7" t="s">
        <v>116</v>
      </c>
      <c r="C38" s="9"/>
      <c r="D38" s="9">
        <v>932.77</v>
      </c>
      <c r="E38" s="9">
        <v>932.77</v>
      </c>
      <c r="F38" s="9"/>
      <c r="G38" s="9">
        <v>1892.7200000000003</v>
      </c>
      <c r="H38" s="9">
        <v>1892.7200000000003</v>
      </c>
      <c r="I38" s="9"/>
      <c r="J38" s="9">
        <v>7127.7599999999993</v>
      </c>
      <c r="K38" s="9">
        <v>7127.7599999999993</v>
      </c>
      <c r="L38" s="9">
        <v>9953.25</v>
      </c>
      <c r="N38" s="17"/>
      <c r="O38" s="17"/>
      <c r="P38" s="17"/>
      <c r="Q38" s="17"/>
      <c r="R38" s="17"/>
    </row>
    <row r="39" spans="2:18">
      <c r="B39" s="8" t="s">
        <v>118</v>
      </c>
      <c r="C39" s="9"/>
      <c r="D39" s="9">
        <v>598.99</v>
      </c>
      <c r="E39" s="9">
        <v>598.99</v>
      </c>
      <c r="F39" s="9"/>
      <c r="G39" s="9">
        <v>1215.44</v>
      </c>
      <c r="H39" s="9">
        <v>1215.44</v>
      </c>
      <c r="I39" s="9"/>
      <c r="J39" s="9">
        <v>4577.2</v>
      </c>
      <c r="K39" s="9">
        <v>4577.2</v>
      </c>
      <c r="L39" s="9">
        <v>6391.63</v>
      </c>
      <c r="N39" s="17"/>
      <c r="O39" s="17"/>
      <c r="P39" s="17"/>
      <c r="Q39" s="17"/>
      <c r="R39" s="17"/>
    </row>
    <row r="40" spans="2:18">
      <c r="B40" s="8" t="s">
        <v>119</v>
      </c>
      <c r="C40" s="9"/>
      <c r="D40" s="9">
        <v>68.709999999999994</v>
      </c>
      <c r="E40" s="9">
        <v>68.709999999999994</v>
      </c>
      <c r="F40" s="9"/>
      <c r="G40" s="9">
        <v>139.41999999999999</v>
      </c>
      <c r="H40" s="9">
        <v>139.41999999999999</v>
      </c>
      <c r="I40" s="9"/>
      <c r="J40" s="9">
        <v>525.03</v>
      </c>
      <c r="K40" s="9">
        <v>525.03</v>
      </c>
      <c r="L40" s="9">
        <v>733.16</v>
      </c>
      <c r="N40" s="17"/>
      <c r="O40" s="17"/>
      <c r="P40" s="17"/>
      <c r="Q40" s="17"/>
      <c r="R40" s="17"/>
    </row>
    <row r="41" spans="2:18">
      <c r="B41" s="8" t="s">
        <v>117</v>
      </c>
      <c r="C41" s="9"/>
      <c r="D41" s="9">
        <v>265.07</v>
      </c>
      <c r="E41" s="9">
        <v>265.07</v>
      </c>
      <c r="F41" s="9"/>
      <c r="G41" s="9">
        <v>537.86</v>
      </c>
      <c r="H41" s="9">
        <v>537.86</v>
      </c>
      <c r="I41" s="9"/>
      <c r="J41" s="9">
        <v>2025.53</v>
      </c>
      <c r="K41" s="9">
        <v>2025.53</v>
      </c>
      <c r="L41" s="9">
        <v>2828.46</v>
      </c>
      <c r="N41" s="17"/>
      <c r="O41" s="17"/>
      <c r="P41" s="17"/>
      <c r="Q41" s="17"/>
      <c r="R41" s="17"/>
    </row>
    <row r="42" spans="2:18">
      <c r="B42" s="7" t="s">
        <v>58</v>
      </c>
      <c r="C42" s="9">
        <v>1648.5920000000001</v>
      </c>
      <c r="D42" s="9">
        <v>21.22</v>
      </c>
      <c r="E42" s="9">
        <v>1669.8120000000001</v>
      </c>
      <c r="F42" s="9">
        <v>5303.0560000000005</v>
      </c>
      <c r="G42" s="9">
        <v>42.04</v>
      </c>
      <c r="H42" s="9">
        <v>5345.0960000000005</v>
      </c>
      <c r="I42" s="9">
        <v>23223.200000000001</v>
      </c>
      <c r="J42" s="9">
        <v>93.36</v>
      </c>
      <c r="K42" s="9">
        <v>23316.560000000001</v>
      </c>
      <c r="L42" s="9">
        <v>30331.468000000001</v>
      </c>
      <c r="N42" s="17"/>
      <c r="O42" s="17"/>
      <c r="P42" s="17"/>
      <c r="Q42" s="17"/>
      <c r="R42" s="17"/>
    </row>
    <row r="43" spans="2:18">
      <c r="B43" s="8" t="s">
        <v>59</v>
      </c>
      <c r="C43" s="9">
        <v>1648.5920000000001</v>
      </c>
      <c r="D43" s="9"/>
      <c r="E43" s="9">
        <v>1648.5920000000001</v>
      </c>
      <c r="F43" s="9">
        <v>5303.0560000000005</v>
      </c>
      <c r="G43" s="9"/>
      <c r="H43" s="9">
        <v>5303.0560000000005</v>
      </c>
      <c r="I43" s="9">
        <v>23223.200000000001</v>
      </c>
      <c r="J43" s="9"/>
      <c r="K43" s="9">
        <v>23223.200000000001</v>
      </c>
      <c r="L43" s="9">
        <v>30174.848000000002</v>
      </c>
      <c r="N43" s="17"/>
      <c r="O43" s="17"/>
      <c r="P43" s="17"/>
      <c r="Q43" s="17"/>
      <c r="R43" s="17"/>
    </row>
    <row r="44" spans="2:18">
      <c r="B44" s="8" t="s">
        <v>132</v>
      </c>
      <c r="C44" s="9"/>
      <c r="D44" s="9">
        <v>21.22</v>
      </c>
      <c r="E44" s="9">
        <v>21.22</v>
      </c>
      <c r="F44" s="9"/>
      <c r="G44" s="9">
        <v>42.04</v>
      </c>
      <c r="H44" s="9">
        <v>42.04</v>
      </c>
      <c r="I44" s="9"/>
      <c r="J44" s="9">
        <v>93.36</v>
      </c>
      <c r="K44" s="9">
        <v>93.36</v>
      </c>
      <c r="L44" s="9">
        <v>156.62</v>
      </c>
      <c r="N44" s="17"/>
      <c r="O44" s="17"/>
      <c r="P44" s="17"/>
      <c r="Q44" s="17"/>
      <c r="R44" s="17"/>
    </row>
    <row r="45" spans="2:18">
      <c r="B45" s="7" t="s">
        <v>31</v>
      </c>
      <c r="C45" s="9">
        <v>1314</v>
      </c>
      <c r="D45" s="9">
        <v>1052.27</v>
      </c>
      <c r="E45" s="9">
        <v>2366.27</v>
      </c>
      <c r="F45" s="9">
        <v>610.10599999999999</v>
      </c>
      <c r="G45" s="9">
        <v>4378.01</v>
      </c>
      <c r="H45" s="9">
        <v>4988.116</v>
      </c>
      <c r="I45" s="9">
        <v>4000</v>
      </c>
      <c r="J45" s="9">
        <v>5189.71</v>
      </c>
      <c r="K45" s="9">
        <v>9189.7099999999991</v>
      </c>
      <c r="L45" s="9">
        <v>16544.096000000001</v>
      </c>
      <c r="N45" s="17"/>
      <c r="O45" s="17"/>
      <c r="P45" s="17"/>
      <c r="Q45" s="17"/>
      <c r="R45" s="17"/>
    </row>
    <row r="46" spans="2:18">
      <c r="B46" s="8" t="s">
        <v>32</v>
      </c>
      <c r="C46" s="9">
        <v>0</v>
      </c>
      <c r="D46" s="9">
        <v>605.88</v>
      </c>
      <c r="E46" s="9">
        <v>605.88</v>
      </c>
      <c r="F46" s="9">
        <v>0</v>
      </c>
      <c r="G46" s="9">
        <v>2520.8000000000002</v>
      </c>
      <c r="H46" s="9">
        <v>2520.8000000000002</v>
      </c>
      <c r="I46" s="9">
        <v>2868</v>
      </c>
      <c r="J46" s="9">
        <v>2988.17</v>
      </c>
      <c r="K46" s="9">
        <v>5856.17</v>
      </c>
      <c r="L46" s="9">
        <v>8982.85</v>
      </c>
      <c r="N46" s="18">
        <f t="shared" ref="N46:S46" si="7">N91/O91</f>
        <v>0</v>
      </c>
      <c r="O46" s="18"/>
      <c r="P46" s="18">
        <f t="shared" si="7"/>
        <v>0</v>
      </c>
      <c r="Q46" s="17"/>
      <c r="R46" s="17">
        <f t="shared" si="7"/>
        <v>0.95978475120224083</v>
      </c>
    </row>
    <row r="47" spans="2:18">
      <c r="B47" s="8" t="s">
        <v>35</v>
      </c>
      <c r="C47" s="9">
        <v>1314</v>
      </c>
      <c r="D47" s="9">
        <v>446.39</v>
      </c>
      <c r="E47" s="9">
        <v>1760.3899999999999</v>
      </c>
      <c r="F47" s="9">
        <v>610.10599999999999</v>
      </c>
      <c r="G47" s="9">
        <v>1857.21</v>
      </c>
      <c r="H47" s="9">
        <v>2467.3159999999998</v>
      </c>
      <c r="I47" s="9">
        <v>1132</v>
      </c>
      <c r="J47" s="9">
        <v>2201.54</v>
      </c>
      <c r="K47" s="9">
        <v>3333.54</v>
      </c>
      <c r="L47" s="9">
        <v>7561.2460000000001</v>
      </c>
      <c r="N47" s="17">
        <f t="shared" ref="N47:S47" si="8">N92/O92</f>
        <v>2.9436143282779632</v>
      </c>
      <c r="O47" s="17"/>
      <c r="P47" s="17">
        <f t="shared" si="8"/>
        <v>0.32850673860252744</v>
      </c>
      <c r="Q47" s="17"/>
      <c r="R47" s="17">
        <f t="shared" si="8"/>
        <v>0.5141855246781798</v>
      </c>
    </row>
    <row r="48" spans="2:18">
      <c r="B48" s="7" t="s">
        <v>309</v>
      </c>
      <c r="C48" s="9">
        <v>7097.1920000000009</v>
      </c>
      <c r="D48" s="9">
        <v>37646.459999999992</v>
      </c>
      <c r="E48" s="9">
        <v>44743.651999999995</v>
      </c>
      <c r="F48" s="9">
        <v>11960.676285714286</v>
      </c>
      <c r="G48" s="9">
        <v>52160.69</v>
      </c>
      <c r="H48" s="9">
        <v>64121.366285714277</v>
      </c>
      <c r="I48" s="9">
        <v>39898.971428571429</v>
      </c>
      <c r="J48" s="9">
        <v>349677.35000000003</v>
      </c>
      <c r="K48" s="9">
        <v>389576.32142857148</v>
      </c>
      <c r="L48" s="9">
        <v>498441.33971428563</v>
      </c>
    </row>
    <row r="50" spans="14:19">
      <c r="N50" t="s">
        <v>13</v>
      </c>
      <c r="P50" t="s">
        <v>62</v>
      </c>
      <c r="R50" t="s">
        <v>77</v>
      </c>
    </row>
    <row r="51" spans="14:19">
      <c r="N51" t="s">
        <v>19</v>
      </c>
      <c r="O51" t="s">
        <v>107</v>
      </c>
      <c r="P51" t="s">
        <v>19</v>
      </c>
      <c r="Q51" t="s">
        <v>107</v>
      </c>
      <c r="R51" t="s">
        <v>19</v>
      </c>
      <c r="S51" t="s">
        <v>107</v>
      </c>
    </row>
    <row r="52" spans="14:19">
      <c r="N52">
        <v>3560</v>
      </c>
      <c r="O52">
        <v>1637.26</v>
      </c>
      <c r="P52">
        <v>1700</v>
      </c>
      <c r="Q52">
        <v>10122.93</v>
      </c>
      <c r="R52">
        <v>7100</v>
      </c>
      <c r="S52">
        <v>3077.1</v>
      </c>
    </row>
    <row r="53" spans="14:19">
      <c r="N53">
        <v>3560</v>
      </c>
      <c r="O53">
        <v>1637.26</v>
      </c>
      <c r="P53">
        <v>1700</v>
      </c>
      <c r="Q53">
        <v>10122.93</v>
      </c>
      <c r="R53">
        <v>7100</v>
      </c>
      <c r="S53">
        <v>3077.1</v>
      </c>
    </row>
    <row r="54" spans="14:19">
      <c r="N54">
        <v>37.6</v>
      </c>
      <c r="O54">
        <v>1328.3200000000002</v>
      </c>
      <c r="P54">
        <v>816.8</v>
      </c>
      <c r="Q54">
        <v>2784.02</v>
      </c>
      <c r="R54">
        <v>1555.2</v>
      </c>
      <c r="S54">
        <v>6251.27</v>
      </c>
    </row>
    <row r="55" spans="14:19">
      <c r="N55">
        <v>37.6</v>
      </c>
      <c r="O55">
        <v>135.52000000000001</v>
      </c>
      <c r="P55">
        <v>296.8</v>
      </c>
      <c r="Q55">
        <v>268.51</v>
      </c>
      <c r="R55">
        <v>379.20000000000005</v>
      </c>
      <c r="S55">
        <v>596.25</v>
      </c>
    </row>
    <row r="56" spans="14:19">
      <c r="N56">
        <v>0</v>
      </c>
      <c r="O56">
        <v>735.62</v>
      </c>
      <c r="P56">
        <v>520</v>
      </c>
      <c r="Q56">
        <v>1457.49</v>
      </c>
      <c r="R56">
        <v>1176</v>
      </c>
      <c r="S56">
        <v>3236.42</v>
      </c>
    </row>
    <row r="57" spans="14:19">
      <c r="O57">
        <v>330.51</v>
      </c>
      <c r="Q57">
        <v>764.87</v>
      </c>
      <c r="S57">
        <v>1748.47</v>
      </c>
    </row>
    <row r="58" spans="14:19">
      <c r="O58">
        <v>126.67</v>
      </c>
      <c r="Q58">
        <v>293.14999999999998</v>
      </c>
      <c r="S58">
        <v>670.13</v>
      </c>
    </row>
    <row r="59" spans="14:19">
      <c r="N59">
        <v>17</v>
      </c>
      <c r="O59">
        <v>17</v>
      </c>
      <c r="P59">
        <v>2080.7142857142858</v>
      </c>
      <c r="Q59">
        <v>364.29</v>
      </c>
      <c r="R59">
        <v>852.57142857142856</v>
      </c>
      <c r="S59">
        <v>959.29</v>
      </c>
    </row>
    <row r="60" spans="14:19">
      <c r="N60">
        <v>17</v>
      </c>
      <c r="O60">
        <v>17</v>
      </c>
      <c r="P60">
        <v>400.71428571428567</v>
      </c>
      <c r="Q60">
        <v>364.29</v>
      </c>
      <c r="R60">
        <v>48.571428571428569</v>
      </c>
      <c r="S60">
        <v>959.29</v>
      </c>
    </row>
    <row r="61" spans="14:19">
      <c r="N61">
        <v>0</v>
      </c>
      <c r="P61">
        <v>1680</v>
      </c>
      <c r="R61">
        <v>804</v>
      </c>
    </row>
    <row r="62" spans="14:19">
      <c r="N62">
        <v>0</v>
      </c>
      <c r="P62">
        <v>0</v>
      </c>
      <c r="R62">
        <v>0</v>
      </c>
    </row>
    <row r="63" spans="14:19">
      <c r="O63">
        <v>3522.76</v>
      </c>
      <c r="Q63">
        <v>3382.16</v>
      </c>
      <c r="S63">
        <v>23956.37</v>
      </c>
    </row>
    <row r="64" spans="14:19">
      <c r="O64">
        <v>3522.76</v>
      </c>
      <c r="Q64">
        <v>3382.16</v>
      </c>
      <c r="S64">
        <v>23956.37</v>
      </c>
    </row>
    <row r="65" spans="14:19">
      <c r="N65">
        <v>169</v>
      </c>
      <c r="O65">
        <v>333.44</v>
      </c>
      <c r="P65">
        <v>50</v>
      </c>
      <c r="Q65">
        <v>2061.58</v>
      </c>
      <c r="R65">
        <v>3000</v>
      </c>
      <c r="S65">
        <v>626.66</v>
      </c>
    </row>
    <row r="66" spans="14:19">
      <c r="O66">
        <v>333.44</v>
      </c>
      <c r="Q66">
        <v>2061.58</v>
      </c>
      <c r="S66">
        <v>626.66</v>
      </c>
    </row>
    <row r="67" spans="14:19">
      <c r="N67">
        <v>169</v>
      </c>
      <c r="P67">
        <v>0</v>
      </c>
      <c r="R67">
        <v>1800</v>
      </c>
    </row>
    <row r="68" spans="14:19">
      <c r="N68">
        <v>0</v>
      </c>
      <c r="P68">
        <v>50</v>
      </c>
      <c r="R68">
        <v>300</v>
      </c>
    </row>
    <row r="69" spans="14:19">
      <c r="N69">
        <v>0</v>
      </c>
      <c r="P69">
        <v>0</v>
      </c>
      <c r="R69">
        <v>900</v>
      </c>
    </row>
    <row r="70" spans="14:19">
      <c r="N70">
        <v>351</v>
      </c>
      <c r="O70">
        <v>0</v>
      </c>
      <c r="P70">
        <v>1400</v>
      </c>
      <c r="Q70">
        <v>0</v>
      </c>
      <c r="R70">
        <v>168</v>
      </c>
      <c r="S70">
        <v>0</v>
      </c>
    </row>
    <row r="71" spans="14:19">
      <c r="O71">
        <v>0</v>
      </c>
      <c r="Q71">
        <v>0</v>
      </c>
      <c r="S71">
        <v>0</v>
      </c>
    </row>
    <row r="72" spans="14:19">
      <c r="N72">
        <v>0</v>
      </c>
      <c r="O72">
        <v>0</v>
      </c>
      <c r="P72">
        <v>1400</v>
      </c>
      <c r="Q72">
        <v>0</v>
      </c>
      <c r="R72">
        <v>38</v>
      </c>
      <c r="S72">
        <v>0</v>
      </c>
    </row>
    <row r="73" spans="14:19">
      <c r="N73">
        <v>351</v>
      </c>
      <c r="O73">
        <v>0</v>
      </c>
      <c r="P73">
        <v>0</v>
      </c>
      <c r="Q73">
        <v>0</v>
      </c>
      <c r="R73">
        <v>130</v>
      </c>
      <c r="S73">
        <v>0</v>
      </c>
    </row>
    <row r="74" spans="14:19">
      <c r="O74">
        <v>0</v>
      </c>
      <c r="Q74">
        <v>0</v>
      </c>
      <c r="S74">
        <v>0</v>
      </c>
    </row>
    <row r="75" spans="14:19">
      <c r="O75">
        <v>25860.6</v>
      </c>
      <c r="Q75">
        <v>8950.32</v>
      </c>
      <c r="S75">
        <v>296868.80000000005</v>
      </c>
    </row>
    <row r="76" spans="14:19">
      <c r="O76">
        <v>3584.44</v>
      </c>
      <c r="Q76">
        <v>4107.08</v>
      </c>
      <c r="S76">
        <v>75280.94</v>
      </c>
    </row>
    <row r="77" spans="14:19">
      <c r="O77">
        <v>8032.98</v>
      </c>
      <c r="Q77">
        <v>2100.37</v>
      </c>
      <c r="S77">
        <v>170589.19</v>
      </c>
    </row>
    <row r="78" spans="14:19">
      <c r="O78">
        <v>639.09</v>
      </c>
      <c r="Q78">
        <v>192.32</v>
      </c>
      <c r="S78">
        <v>9402.5</v>
      </c>
    </row>
    <row r="79" spans="14:19">
      <c r="O79">
        <v>13604.09</v>
      </c>
      <c r="Q79">
        <v>1827.29</v>
      </c>
      <c r="S79">
        <v>41261.53</v>
      </c>
    </row>
    <row r="80" spans="14:19">
      <c r="O80">
        <v>0</v>
      </c>
      <c r="Q80">
        <v>723.26</v>
      </c>
      <c r="S80">
        <v>334.64</v>
      </c>
    </row>
    <row r="81" spans="14:19">
      <c r="O81">
        <v>2940.82</v>
      </c>
      <c r="Q81">
        <v>18182.62</v>
      </c>
      <c r="S81">
        <v>5527.03</v>
      </c>
    </row>
    <row r="82" spans="14:19">
      <c r="O82">
        <v>2940.82</v>
      </c>
      <c r="Q82">
        <v>18182.62</v>
      </c>
      <c r="S82">
        <v>5527.03</v>
      </c>
    </row>
    <row r="83" spans="14:19">
      <c r="O83">
        <v>932.77</v>
      </c>
      <c r="Q83">
        <v>1892.7200000000003</v>
      </c>
      <c r="S83">
        <v>7127.7599999999993</v>
      </c>
    </row>
    <row r="84" spans="14:19">
      <c r="O84">
        <v>598.99</v>
      </c>
      <c r="Q84">
        <v>1215.44</v>
      </c>
      <c r="S84">
        <v>4577.2</v>
      </c>
    </row>
    <row r="85" spans="14:19">
      <c r="O85">
        <v>68.709999999999994</v>
      </c>
      <c r="Q85">
        <v>139.41999999999999</v>
      </c>
      <c r="S85">
        <v>525.03</v>
      </c>
    </row>
    <row r="86" spans="14:19">
      <c r="O86">
        <v>265.07</v>
      </c>
      <c r="Q86">
        <v>537.86</v>
      </c>
      <c r="S86">
        <v>2025.53</v>
      </c>
    </row>
    <row r="87" spans="14:19">
      <c r="N87">
        <v>1648.5920000000001</v>
      </c>
      <c r="O87">
        <v>21.22</v>
      </c>
      <c r="P87">
        <v>5303.0560000000005</v>
      </c>
      <c r="Q87">
        <v>42.04</v>
      </c>
      <c r="R87">
        <v>23223.200000000001</v>
      </c>
      <c r="S87">
        <v>93.36</v>
      </c>
    </row>
    <row r="88" spans="14:19">
      <c r="N88">
        <v>1648.5920000000001</v>
      </c>
      <c r="P88">
        <v>5303.0560000000005</v>
      </c>
      <c r="R88">
        <v>23223.200000000001</v>
      </c>
    </row>
    <row r="89" spans="14:19">
      <c r="O89">
        <v>21.22</v>
      </c>
      <c r="Q89">
        <v>42.04</v>
      </c>
      <c r="S89">
        <v>93.36</v>
      </c>
    </row>
    <row r="90" spans="14:19">
      <c r="N90">
        <v>1314</v>
      </c>
      <c r="O90">
        <v>1052.27</v>
      </c>
      <c r="P90">
        <v>610.10599999999999</v>
      </c>
      <c r="Q90">
        <v>4378.01</v>
      </c>
      <c r="R90">
        <v>4000</v>
      </c>
      <c r="S90">
        <v>5189.71</v>
      </c>
    </row>
    <row r="91" spans="14:19">
      <c r="N91">
        <v>0</v>
      </c>
      <c r="O91">
        <v>605.88</v>
      </c>
      <c r="P91">
        <v>0</v>
      </c>
      <c r="Q91">
        <v>2520.8000000000002</v>
      </c>
      <c r="R91">
        <v>2868</v>
      </c>
      <c r="S91">
        <v>2988.17</v>
      </c>
    </row>
    <row r="92" spans="14:19">
      <c r="N92">
        <v>1314</v>
      </c>
      <c r="O92">
        <v>446.39</v>
      </c>
      <c r="P92">
        <v>610.10599999999999</v>
      </c>
      <c r="Q92">
        <v>1857.21</v>
      </c>
      <c r="R92">
        <v>1132</v>
      </c>
      <c r="S92">
        <v>2201.54</v>
      </c>
    </row>
    <row r="93" spans="14:19">
      <c r="N93">
        <v>7097.1920000000009</v>
      </c>
      <c r="O93">
        <v>37646.459999999992</v>
      </c>
      <c r="P93">
        <v>11960.676285714286</v>
      </c>
      <c r="Q93">
        <v>52160.69</v>
      </c>
      <c r="R93">
        <v>39898.971428571429</v>
      </c>
      <c r="S93">
        <v>349677.35000000003</v>
      </c>
    </row>
  </sheetData>
  <conditionalFormatting sqref="N7:R47">
    <cfRule type="cellIs" dxfId="2" priority="1" operator="between">
      <formula>0.01</formula>
      <formula>0.8</formula>
    </cfRule>
    <cfRule type="cellIs" dxfId="1" priority="2" operator="greaterThan">
      <formula>1.2</formula>
    </cfRule>
    <cfRule type="cellIs" dxfId="0" priority="3" operator="between">
      <formula>0.8</formula>
      <formula>1.2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56C54434DC964B8FD3868A8B66F29D" ma:contentTypeVersion="13" ma:contentTypeDescription="Create a new document." ma:contentTypeScope="" ma:versionID="ba90a683fd46da3bb8207b218084079a">
  <xsd:schema xmlns:xsd="http://www.w3.org/2001/XMLSchema" xmlns:xs="http://www.w3.org/2001/XMLSchema" xmlns:p="http://schemas.microsoft.com/office/2006/metadata/properties" xmlns:ns2="140ef148-925d-4328-9f08-4c558858642d" xmlns:ns3="6c5eb39b-f36b-40ff-b18f-c0876d3e7216" targetNamespace="http://schemas.microsoft.com/office/2006/metadata/properties" ma:root="true" ma:fieldsID="49f71907b99875def56ba65e104268af" ns2:_="" ns3:_="">
    <xsd:import namespace="140ef148-925d-4328-9f08-4c558858642d"/>
    <xsd:import namespace="6c5eb39b-f36b-40ff-b18f-c0876d3e7216"/>
    <xsd:element name="properties">
      <xsd:complexType>
        <xsd:sequence>
          <xsd:element name="documentManagement">
            <xsd:complexType>
              <xsd:all>
                <xsd:element ref="ns2:VITODocumentType" minOccurs="0"/>
                <xsd:element ref="ns2:VITOTeam" minOccurs="0"/>
                <xsd:element ref="ns2:VITOOpportunity" minOccurs="0"/>
                <xsd:element ref="ns2:VITOProject" minOccurs="0"/>
                <xsd:element ref="ns2:VITOContactCompany" minOccurs="0"/>
                <xsd:element ref="ns2:VITOUnit" minOccurs="0"/>
                <xsd:element ref="ns3:MediaServiceMetadata" minOccurs="0"/>
                <xsd:element ref="ns3:MediaServiceFastMetadata" minOccurs="0"/>
                <xsd:element ref="ns3:MediaServiceObjectDetectorVersions" minOccurs="0"/>
                <xsd:element ref="ns3:MediaServiceSearchPropertie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0ef148-925d-4328-9f08-4c558858642d" elementFormDefault="qualified">
    <xsd:import namespace="http://schemas.microsoft.com/office/2006/documentManagement/types"/>
    <xsd:import namespace="http://schemas.microsoft.com/office/infopath/2007/PartnerControls"/>
    <xsd:element name="VITODocumentType" ma:index="8" nillable="true" ma:displayName="Document Type" ma:default="" ma:internalName="VITODocumentType">
      <xsd:simpleType>
        <xsd:union memberTypes="dms:Text">
          <xsd:simpleType>
            <xsd:restriction base="dms:Choice"/>
          </xsd:simpleType>
        </xsd:union>
      </xsd:simpleType>
    </xsd:element>
    <xsd:element name="VITOTeam" ma:index="9" nillable="true" ma:displayName="Team" ma:default="Contractadministratie" ma:internalName="VITOTeam">
      <xsd:complexType>
        <xsd:complexContent>
          <xsd:extension base="dms:MultiChoiceFillIn">
            <xsd:sequence>
              <xsd:element name="Value" maxOccurs="unbounded" minOccurs="0" nillable="true">
                <xsd:simpleType>
                  <xsd:union memberTypes="dms:Text">
                    <xsd:simpleType>
                      <xsd:restriction base="dms:Choice"/>
                    </xsd:simpleType>
                  </xsd:union>
                </xsd:simpleType>
              </xsd:element>
            </xsd:sequence>
          </xsd:extension>
        </xsd:complexContent>
      </xsd:complexType>
    </xsd:element>
    <xsd:element name="VITOOpportunity" ma:index="10" nillable="true" ma:displayName="Opportunity" ma:default="" ma:internalName="VITOOpportunity">
      <xsd:complexType>
        <xsd:complexContent>
          <xsd:extension base="dms:MultiChoiceFillIn">
            <xsd:sequence>
              <xsd:element name="Value" maxOccurs="unbounded" minOccurs="0" nillable="true">
                <xsd:simpleType>
                  <xsd:union memberTypes="dms:Text">
                    <xsd:simpleType>
                      <xsd:restriction base="dms:Choice"/>
                    </xsd:simpleType>
                  </xsd:union>
                </xsd:simpleType>
              </xsd:element>
            </xsd:sequence>
          </xsd:extension>
        </xsd:complexContent>
      </xsd:complexType>
    </xsd:element>
    <xsd:element name="VITOProject" ma:index="11" nillable="true" ma:displayName="Project" ma:default="" ma:internalName="VITOProject">
      <xsd:complexType>
        <xsd:complexContent>
          <xsd:extension base="dms:MultiChoiceFillIn">
            <xsd:sequence>
              <xsd:element name="Value" maxOccurs="unbounded" minOccurs="0" nillable="true">
                <xsd:simpleType>
                  <xsd:union memberTypes="dms:Text">
                    <xsd:simpleType>
                      <xsd:restriction base="dms:Choice"/>
                    </xsd:simpleType>
                  </xsd:union>
                </xsd:simpleType>
              </xsd:element>
            </xsd:sequence>
          </xsd:extension>
        </xsd:complexContent>
      </xsd:complexType>
    </xsd:element>
    <xsd:element name="VITOContactCompany" ma:index="12" nillable="true" ma:displayName="Contact Company" ma:default="" ma:internalName="VITOContactCompany">
      <xsd:complexType>
        <xsd:complexContent>
          <xsd:extension base="dms:MultiChoiceFillIn">
            <xsd:sequence>
              <xsd:element name="Value" maxOccurs="unbounded" minOccurs="0" nillable="true">
                <xsd:simpleType>
                  <xsd:union memberTypes="dms:Text">
                    <xsd:simpleType>
                      <xsd:restriction base="dms:Choice"/>
                    </xsd:simpleType>
                  </xsd:union>
                </xsd:simpleType>
              </xsd:element>
            </xsd:sequence>
          </xsd:extension>
        </xsd:complexContent>
      </xsd:complexType>
    </xsd:element>
    <xsd:element name="VITOUnit" ma:index="13" nillable="true" ma:displayName="Unit" ma:default="" ma:internalName="VITOUnit">
      <xsd:complexType>
        <xsd:complexContent>
          <xsd:extension base="dms:MultiChoiceFillIn">
            <xsd:sequence>
              <xsd:element name="Value" maxOccurs="unbounded" minOccurs="0" nillable="true">
                <xsd:simpleType>
                  <xsd:union memberTypes="dms:Text">
                    <xsd:simpleType>
                      <xsd:restriction base="dms:Choice"/>
                    </xsd:simpleType>
                  </xsd:union>
                </xsd:simpleType>
              </xsd:element>
            </xsd:sequence>
          </xsd:extension>
        </xsd:complexContent>
      </xsd:complexType>
    </xsd:element>
    <xsd:element name="TaxCatchAll" ma:index="20" nillable="true" ma:displayName="Taxonomy Catch All Column" ma:hidden="true" ma:list="{83cb2164-f8ed-4819-b207-fa370db64790}" ma:internalName="TaxCatchAll" ma:showField="CatchAllData" ma:web="140ef148-925d-4328-9f08-4c558858642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c5eb39b-f36b-40ff-b18f-c0876d3e7216" elementFormDefault="qualified">
    <xsd:import namespace="http://schemas.microsoft.com/office/2006/documentManagement/types"/>
    <xsd:import namespace="http://schemas.microsoft.com/office/infopath/2007/PartnerControls"/>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c20e29d-4d9b-411e-9260-307e9281c90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VITOOpportunity xmlns="140ef148-925d-4328-9f08-4c558858642d" xsi:nil="true"/>
    <VITOTeam xmlns="140ef148-925d-4328-9f08-4c558858642d">
      <Value>Contractadministratie</Value>
    </VITOTeam>
    <VITODocumentType xmlns="140ef148-925d-4328-9f08-4c558858642d" xsi:nil="true"/>
    <VITOProject xmlns="140ef148-925d-4328-9f08-4c558858642d" xsi:nil="true"/>
    <VITOUnit xmlns="140ef148-925d-4328-9f08-4c558858642d" xsi:nil="true"/>
    <VITOContactCompany xmlns="140ef148-925d-4328-9f08-4c558858642d" xsi:nil="true"/>
    <lcf76f155ced4ddcb4097134ff3c332f xmlns="6c5eb39b-f36b-40ff-b18f-c0876d3e7216">
      <Terms xmlns="http://schemas.microsoft.com/office/infopath/2007/PartnerControls"/>
    </lcf76f155ced4ddcb4097134ff3c332f>
    <TaxCatchAll xmlns="140ef148-925d-4328-9f08-4c558858642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8E013F-4CA9-4348-A37B-8290C5D02989}"/>
</file>

<file path=customXml/itemProps2.xml><?xml version="1.0" encoding="utf-8"?>
<ds:datastoreItem xmlns:ds="http://schemas.openxmlformats.org/officeDocument/2006/customXml" ds:itemID="{AFEC446D-31D9-4495-8D2E-CCE4FDE20A1B}"/>
</file>

<file path=customXml/itemProps3.xml><?xml version="1.0" encoding="utf-8"?>
<ds:datastoreItem xmlns:ds="http://schemas.openxmlformats.org/officeDocument/2006/customXml" ds:itemID="{AC14FB36-EC2D-401D-A6EC-CDE3DC5652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Jorge Moncada Escudero</dc:creator>
  <cp:keywords/>
  <dc:description/>
  <cp:lastModifiedBy/>
  <cp:revision/>
  <dcterms:created xsi:type="dcterms:W3CDTF">2024-11-22T13:43:11Z</dcterms:created>
  <dcterms:modified xsi:type="dcterms:W3CDTF">2026-02-13T10:42:51Z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0x0101008656C54434DC964B8FD3868A8B66F29D</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